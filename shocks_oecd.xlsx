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Archivio2026\pubblicazioni\2018 european sociological review (penalosa-visser)\text\ESR\final version\"/>
    </mc:Choice>
  </mc:AlternateContent>
  <xr:revisionPtr revIDLastSave="0" documentId="13_ncr:1_{8AC326FA-2960-457E-8618-6D324FDFF8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pply shocks" sheetId="1" r:id="rId1"/>
    <sheet name="demand shocks" sheetId="3" r:id="rId2"/>
    <sheet name="export" sheetId="2" r:id="rId3"/>
  </sheets>
  <definedNames>
    <definedName name="exports" localSheetId="2">export!#REF!</definedName>
    <definedName name="gdp" localSheetId="1">'demand shocks'!$A$1:$C$126</definedName>
    <definedName name="ict" localSheetId="1">'demand shocks'!$D$1:$D$148</definedName>
    <definedName name="imports" localSheetId="2">export!#REF!</definedName>
    <definedName name="intellectual_property" localSheetId="1">'demand shocks'!$E$1:$E$125</definedName>
    <definedName name="investment_us_dollars" localSheetId="1">'demand shocks'!#REF!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3" l="1"/>
  <c r="F33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ports" type="6" refreshedVersion="4" background="1">
    <textPr codePage="65001" sourceFile="D:\Art\2018 penalosa-vivan\institutions\exports.csv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gdp" type="6" refreshedVersion="4" background="1" saveData="1">
    <textPr codePage="65001" sourceFile="D:\Art\2018 penalosa-vivan\institutions\gdp.csv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ict" type="6" refreshedVersion="4" background="1" saveData="1">
    <textPr codePage="65001" sourceFile="D:\Art\2018 penalosa-vivan\institutions\ict.csv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imports" type="6" refreshedVersion="4" background="1">
    <textPr codePage="65001" sourceFile="D:\Art\2018 penalosa-vivan\institutions\imports.csv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intellectual property" type="6" refreshedVersion="4" background="1" saveData="1">
    <textPr codePage="65001" sourceFile="D:\Art\2018 penalosa-vivan\institutions\intellectual property.csv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investment us dollars" type="6" refreshedVersion="4" background="1">
    <textPr codePage="65001" sourceFile="D:\Art\2018 penalosa-vivan\institutions\investment us dollars.csv" thousands=" 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<sst xmlns="http://schemas.openxmlformats.org/spreadsheetml/2006/main" count="579" uniqueCount="75">
  <si>
    <t>Year</t>
  </si>
  <si>
    <t>France</t>
  </si>
  <si>
    <t>Germany</t>
  </si>
  <si>
    <t>United Kingdom</t>
  </si>
  <si>
    <t>United States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</si>
  <si>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</si>
  <si>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</si>
  <si>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</si>
  <si>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</si>
  <si>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</si>
  <si>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</si>
  <si>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</si>
  <si>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</si>
  <si>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</si>
  <si>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</si>
  <si>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</si>
  <si>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</si>
  <si>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</si>
  <si>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</si>
  <si>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</si>
  <si>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</si>
  <si>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</si>
  <si>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</si>
  <si>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</si>
  <si>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</si>
  <si>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</si>
  <si>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</si>
  <si>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</si>
  <si>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</si>
  <si>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</si>
  <si>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</si>
  <si>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</si>
  <si>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</si>
  <si>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</si>
  <si>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</si>
  <si>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union density</t>
  </si>
  <si>
    <t>EPL 1 - Strictness of employment protection – individual dismissals (regular contracts)</t>
  </si>
  <si>
    <t>EPL 1 - Strictness of employment protection – temporary contracts</t>
  </si>
  <si>
    <t>Minimum relative to average wages of full-time workers</t>
  </si>
  <si>
    <t>.</t>
  </si>
  <si>
    <t>until 1999 Gross Replacement Rates in unemployment (couple without children) after 2001 Net Replacement Rates in unemployment (couple with children)</t>
  </si>
  <si>
    <t>Weeks of Total length of paid maternity and parental leave</t>
  </si>
  <si>
    <t>FR</t>
  </si>
  <si>
    <t>DE</t>
  </si>
  <si>
    <t>UK</t>
  </si>
  <si>
    <t>US</t>
  </si>
  <si>
    <t>ud</t>
  </si>
  <si>
    <t>epl_per</t>
  </si>
  <si>
    <t>epl_tmp</t>
  </si>
  <si>
    <t>kaitz</t>
  </si>
  <si>
    <t>ub</t>
  </si>
  <si>
    <t>leave</t>
  </si>
  <si>
    <t>import</t>
  </si>
  <si>
    <t>export</t>
  </si>
  <si>
    <t>open</t>
  </si>
  <si>
    <t>LOCATION</t>
  </si>
  <si>
    <t>TIME</t>
  </si>
  <si>
    <t>FRA</t>
  </si>
  <si>
    <t>DEU</t>
  </si>
  <si>
    <t>GBR</t>
  </si>
  <si>
    <t>USA</t>
  </si>
  <si>
    <t>OTHMACHINEQT</t>
  </si>
  <si>
    <t>FIXASSET</t>
  </si>
  <si>
    <t>ict</t>
  </si>
  <si>
    <t>int_property</t>
  </si>
  <si>
    <t>invest_gdp</t>
  </si>
  <si>
    <t>year</t>
  </si>
  <si>
    <t>country</t>
  </si>
  <si>
    <t>output_volatility</t>
  </si>
  <si>
    <t>union membership (Visser)</t>
  </si>
  <si>
    <t>adjusted coverage (Visser)</t>
  </si>
  <si>
    <t>Index working time regulation (Visser)</t>
  </si>
  <si>
    <t>ud_v</t>
  </si>
  <si>
    <t>adjcov_v</t>
  </si>
  <si>
    <t>work_reg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</si>
</sst>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\-#,##0.0\ "/>
    <numFmt numFmtId="165" formatCode="#,##0.00_ ;\-#,##0.00\ "/>
    <numFmt numFmtId="166" formatCode="0.0"/>
  </numFmts>
  <fonts count="6" x14ac:knownFonts="1">
    <font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u/>
      <sz val="10"/>
      <name val="Arial Narrow"/>
      <family val="2"/>
    </font>
    <font>
      <sz val="12"/>
      <color theme="1"/>
      <name val="Calibri"/>
      <family val="2"/>
      <scheme val="minor"/>
    </font>
    <font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thin">
        <color rgb="FFC0C0C0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166" fontId="1" fillId="0" borderId="0" xfId="0" applyNumberFormat="1" applyFont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6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1" applyFont="1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</cellXfs>
  <cellStyles count="2">
    <cellStyle name="Normale" xfId="0" builtinId="0"/>
    <cellStyle name="Normale 2" xfId="1" xr:uid="{87B2A541-A575-4343-9E2F-4C0556743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dp" connectionId="2" xr16:uid="{00000000-0016-0000-02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tellectual property" connectionId="5" xr16:uid="{00000000-0016-0000-0200-000002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t" connectionId="3" xr16:uid="{00000000-0016-0000-02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tats.oecd.org/OECDStat_Metadata/ShowMetadata.ashx?Dataset=TUD&amp;Coords=%5bCOU%5d.%5bDEU%5d&amp;ShowOnWeb=true&amp;Lang=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6"/>
  <sheetViews>
    <sheetView workbookViewId="0">
      <selection activeCell="B1" sqref="B1:E1"/>
    </sheetView>
  </sheetViews>
  <sheetFormatPr defaultColWidth="9.375" defaultRowHeight="13.8" x14ac:dyDescent="0.3"/>
  <cols>
    <col min="1" max="16384" width="9.375" style="1"/>
  </cols>
  <sheetData>
    <row r="1" spans="1:37" s="13" customFormat="1" ht="57" customHeight="1" x14ac:dyDescent="0.3">
      <c r="B1" s="23" t="s">
        <v>35</v>
      </c>
      <c r="C1" s="23"/>
      <c r="D1" s="23"/>
      <c r="E1" s="23"/>
      <c r="F1" s="24" t="s">
        <v>36</v>
      </c>
      <c r="G1" s="24"/>
      <c r="H1" s="24"/>
      <c r="I1" s="24"/>
      <c r="J1" s="24" t="s">
        <v>37</v>
      </c>
      <c r="K1" s="24"/>
      <c r="L1" s="24"/>
      <c r="M1" s="24"/>
      <c r="N1" s="23" t="s">
        <v>38</v>
      </c>
      <c r="O1" s="23"/>
      <c r="P1" s="23"/>
      <c r="Q1" s="23"/>
      <c r="R1" s="23" t="s">
        <v>40</v>
      </c>
      <c r="S1" s="23"/>
      <c r="T1" s="23"/>
      <c r="U1" s="23"/>
      <c r="V1" s="23" t="s">
        <v>41</v>
      </c>
      <c r="W1" s="23"/>
      <c r="X1" s="23"/>
      <c r="Y1" s="23"/>
      <c r="Z1" s="25" t="s">
        <v>69</v>
      </c>
      <c r="AA1" s="25"/>
      <c r="AB1" s="25"/>
      <c r="AC1" s="25"/>
      <c r="AD1" s="25" t="s">
        <v>70</v>
      </c>
      <c r="AE1" s="25"/>
      <c r="AF1" s="25"/>
      <c r="AG1" s="25"/>
      <c r="AH1" s="26" t="s">
        <v>71</v>
      </c>
      <c r="AI1" s="26"/>
      <c r="AJ1" s="26"/>
      <c r="AK1" s="26"/>
    </row>
    <row r="2" spans="1:37" ht="27.6" x14ac:dyDescent="0.3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7" t="s">
        <v>1</v>
      </c>
      <c r="G2" s="7" t="s">
        <v>2</v>
      </c>
      <c r="H2" s="7" t="s">
        <v>3</v>
      </c>
      <c r="I2" s="7" t="s">
        <v>4</v>
      </c>
      <c r="J2" s="7" t="s">
        <v>1</v>
      </c>
      <c r="K2" s="7" t="s">
        <v>2</v>
      </c>
      <c r="L2" s="7" t="s">
        <v>3</v>
      </c>
      <c r="M2" s="7" t="s">
        <v>4</v>
      </c>
      <c r="N2" s="7" t="s">
        <v>1</v>
      </c>
      <c r="O2" s="7" t="s">
        <v>2</v>
      </c>
      <c r="P2" s="7" t="s">
        <v>3</v>
      </c>
      <c r="Q2" s="7" t="s">
        <v>4</v>
      </c>
      <c r="R2" s="7" t="s">
        <v>1</v>
      </c>
      <c r="S2" s="7" t="s">
        <v>2</v>
      </c>
      <c r="T2" s="7" t="s">
        <v>3</v>
      </c>
      <c r="U2" s="7" t="s">
        <v>4</v>
      </c>
      <c r="V2" s="7" t="s">
        <v>1</v>
      </c>
      <c r="W2" s="7" t="s">
        <v>2</v>
      </c>
      <c r="X2" s="7" t="s">
        <v>3</v>
      </c>
      <c r="Y2" s="7" t="s">
        <v>4</v>
      </c>
      <c r="Z2" s="8" t="s">
        <v>1</v>
      </c>
      <c r="AA2" s="8" t="s">
        <v>2</v>
      </c>
      <c r="AB2" s="8" t="s">
        <v>3</v>
      </c>
      <c r="AC2" s="8" t="s">
        <v>4</v>
      </c>
      <c r="AD2" s="8" t="s">
        <v>1</v>
      </c>
      <c r="AE2" s="8" t="s">
        <v>2</v>
      </c>
      <c r="AF2" s="8" t="s">
        <v>3</v>
      </c>
      <c r="AG2" s="8" t="s">
        <v>4</v>
      </c>
      <c r="AH2" s="8" t="s">
        <v>1</v>
      </c>
      <c r="AI2" s="8" t="s">
        <v>2</v>
      </c>
      <c r="AJ2" s="8" t="s">
        <v>3</v>
      </c>
      <c r="AK2" s="8" t="s">
        <v>4</v>
      </c>
    </row>
    <row r="3" spans="1:37" x14ac:dyDescent="0.3">
      <c r="A3" s="8" t="s">
        <v>5</v>
      </c>
      <c r="B3" s="9">
        <v>10.9</v>
      </c>
      <c r="C3" s="9">
        <v>32.4</v>
      </c>
      <c r="D3" s="9">
        <v>41.1</v>
      </c>
      <c r="E3" s="9">
        <v>15.9</v>
      </c>
      <c r="F3" s="10">
        <v>2.5150000000000001</v>
      </c>
      <c r="G3" s="10">
        <v>2.5</v>
      </c>
      <c r="H3" s="10">
        <v>1.345</v>
      </c>
      <c r="I3" s="10">
        <v>9.2999999999999999E-2</v>
      </c>
      <c r="J3" s="10">
        <v>2.5619999999999998</v>
      </c>
      <c r="K3" s="10">
        <v>3.25</v>
      </c>
      <c r="L3" s="10">
        <v>0.25</v>
      </c>
      <c r="M3" s="10">
        <v>0.25</v>
      </c>
      <c r="N3" s="10">
        <v>0.49</v>
      </c>
      <c r="O3" s="10" t="s">
        <v>39</v>
      </c>
      <c r="P3" s="10" t="s">
        <v>39</v>
      </c>
      <c r="Q3" s="10">
        <v>0.28499999999999998</v>
      </c>
      <c r="R3" s="11">
        <v>86</v>
      </c>
      <c r="S3" s="11">
        <v>93</v>
      </c>
      <c r="T3" s="11">
        <v>55.066666666666663</v>
      </c>
      <c r="U3" s="11">
        <v>58.46</v>
      </c>
      <c r="V3" s="9">
        <v>16</v>
      </c>
      <c r="W3" s="9">
        <v>57</v>
      </c>
      <c r="X3" s="9">
        <v>18</v>
      </c>
      <c r="Y3" s="9">
        <v>0</v>
      </c>
      <c r="Z3" s="20">
        <v>10.300000190734863</v>
      </c>
      <c r="AA3" s="20">
        <v>30</v>
      </c>
      <c r="AB3" s="20">
        <v>40.400001525878906</v>
      </c>
      <c r="AC3" s="20">
        <v>16.399999618530273</v>
      </c>
      <c r="AD3" s="20">
        <v>92.300000000000011</v>
      </c>
      <c r="AE3" s="20">
        <v>85</v>
      </c>
      <c r="AF3" s="20">
        <v>61.399999999999984</v>
      </c>
      <c r="AG3" s="20">
        <v>18.600000381469727</v>
      </c>
      <c r="AH3" s="21">
        <v>0.79142857142857148</v>
      </c>
      <c r="AI3" s="21">
        <v>0.61</v>
      </c>
      <c r="AJ3" s="21">
        <v>0</v>
      </c>
      <c r="AK3" s="21">
        <v>0.16714285714285712</v>
      </c>
    </row>
    <row r="4" spans="1:37" x14ac:dyDescent="0.3">
      <c r="A4" s="8" t="s">
        <v>6</v>
      </c>
      <c r="B4" s="9">
        <v>10.7</v>
      </c>
      <c r="C4" s="9">
        <v>31.2</v>
      </c>
      <c r="D4" s="9">
        <v>39.6</v>
      </c>
      <c r="E4" s="9">
        <v>15.5</v>
      </c>
      <c r="F4" s="10">
        <v>2.5150000000000001</v>
      </c>
      <c r="G4" s="10">
        <v>2.5</v>
      </c>
      <c r="H4" s="10">
        <v>1.345</v>
      </c>
      <c r="I4" s="10">
        <v>9.2999999999999999E-2</v>
      </c>
      <c r="J4" s="10">
        <v>2.5619999999999998</v>
      </c>
      <c r="K4" s="10">
        <v>3.25</v>
      </c>
      <c r="L4" s="10">
        <v>0.25</v>
      </c>
      <c r="M4" s="10">
        <v>0.25</v>
      </c>
      <c r="N4" s="10">
        <v>0.48599999999999999</v>
      </c>
      <c r="O4" s="10" t="s">
        <v>39</v>
      </c>
      <c r="P4" s="10" t="s">
        <v>39</v>
      </c>
      <c r="Q4" s="10">
        <v>0.29899999999999999</v>
      </c>
      <c r="R4" s="11">
        <v>86</v>
      </c>
      <c r="S4" s="11">
        <v>95.657142857142858</v>
      </c>
      <c r="T4" s="11">
        <v>59</v>
      </c>
      <c r="U4" s="11">
        <v>56.09</v>
      </c>
      <c r="V4" s="9">
        <v>16</v>
      </c>
      <c r="W4" s="9">
        <v>70</v>
      </c>
      <c r="X4" s="9">
        <v>18</v>
      </c>
      <c r="Y4" s="9">
        <v>0</v>
      </c>
      <c r="Z4" s="20">
        <v>10.399999618530273</v>
      </c>
      <c r="AA4" s="20">
        <v>29.399999618530273</v>
      </c>
      <c r="AB4" s="20">
        <v>38.900001525878906</v>
      </c>
      <c r="AC4" s="20">
        <v>16</v>
      </c>
      <c r="AD4" s="20">
        <v>93.199996948242188</v>
      </c>
      <c r="AE4" s="20">
        <v>85</v>
      </c>
      <c r="AF4" s="20">
        <v>58</v>
      </c>
      <c r="AG4" s="20">
        <v>18.200000762939453</v>
      </c>
      <c r="AH4" s="21">
        <v>0.79142857142857148</v>
      </c>
      <c r="AI4" s="21">
        <v>0.61</v>
      </c>
      <c r="AJ4" s="21">
        <v>0</v>
      </c>
      <c r="AK4" s="21">
        <v>0.16714285714285712</v>
      </c>
    </row>
    <row r="5" spans="1:37" x14ac:dyDescent="0.3">
      <c r="A5" s="8" t="s">
        <v>7</v>
      </c>
      <c r="B5" s="9">
        <v>10.4</v>
      </c>
      <c r="C5" s="9">
        <v>36</v>
      </c>
      <c r="D5" s="9">
        <v>39.799999999999997</v>
      </c>
      <c r="E5" s="9">
        <v>15.5</v>
      </c>
      <c r="F5" s="10">
        <v>2.5150000000000001</v>
      </c>
      <c r="G5" s="10">
        <v>2.5</v>
      </c>
      <c r="H5" s="10">
        <v>1.345</v>
      </c>
      <c r="I5" s="10">
        <v>9.2999999999999999E-2</v>
      </c>
      <c r="J5" s="10">
        <v>3.125</v>
      </c>
      <c r="K5" s="10">
        <v>3.25</v>
      </c>
      <c r="L5" s="10">
        <v>0.25</v>
      </c>
      <c r="M5" s="10">
        <v>0.25</v>
      </c>
      <c r="N5" s="10">
        <v>0.49</v>
      </c>
      <c r="O5" s="10" t="s">
        <v>39</v>
      </c>
      <c r="P5" s="10" t="s">
        <v>39</v>
      </c>
      <c r="Q5" s="10">
        <v>0.32300000000000001</v>
      </c>
      <c r="R5" s="11">
        <v>86</v>
      </c>
      <c r="S5" s="11">
        <v>98.314285714285717</v>
      </c>
      <c r="T5" s="11">
        <v>62.93333333333333</v>
      </c>
      <c r="U5" s="11">
        <v>53.72</v>
      </c>
      <c r="V5" s="9">
        <v>16</v>
      </c>
      <c r="W5" s="9">
        <v>83.3</v>
      </c>
      <c r="X5" s="9">
        <v>18</v>
      </c>
      <c r="Y5" s="9">
        <v>0</v>
      </c>
      <c r="Z5" s="20">
        <v>10.600000381469727</v>
      </c>
      <c r="AA5" s="20">
        <v>33.900001525878906</v>
      </c>
      <c r="AB5" s="20">
        <v>39.099998474121094</v>
      </c>
      <c r="AC5" s="20">
        <v>16</v>
      </c>
      <c r="AD5" s="20">
        <v>93.2</v>
      </c>
      <c r="AE5" s="20">
        <v>84.16</v>
      </c>
      <c r="AF5" s="20">
        <v>56.233333333333334</v>
      </c>
      <c r="AG5" s="20">
        <v>18.100000381469727</v>
      </c>
      <c r="AH5" s="21">
        <v>0.79142857142857148</v>
      </c>
      <c r="AI5" s="21">
        <v>0.62857142857142867</v>
      </c>
      <c r="AJ5" s="21">
        <v>0</v>
      </c>
      <c r="AK5" s="21">
        <v>0.16714285714285712</v>
      </c>
    </row>
    <row r="6" spans="1:37" x14ac:dyDescent="0.3">
      <c r="A6" s="8" t="s">
        <v>8</v>
      </c>
      <c r="B6" s="9">
        <v>10.4</v>
      </c>
      <c r="C6" s="9">
        <v>33.9</v>
      </c>
      <c r="D6" s="9">
        <v>39.5</v>
      </c>
      <c r="E6" s="9">
        <v>15.2</v>
      </c>
      <c r="F6" s="10">
        <v>2.5150000000000001</v>
      </c>
      <c r="G6" s="10">
        <v>2.5</v>
      </c>
      <c r="H6" s="10">
        <v>1.345</v>
      </c>
      <c r="I6" s="10">
        <v>9.2999999999999999E-2</v>
      </c>
      <c r="J6" s="10">
        <v>3.125</v>
      </c>
      <c r="K6" s="10">
        <v>3.25</v>
      </c>
      <c r="L6" s="10">
        <v>0.25</v>
      </c>
      <c r="M6" s="10">
        <v>0.25</v>
      </c>
      <c r="N6" s="10">
        <v>0.49199999999999999</v>
      </c>
      <c r="O6" s="10" t="s">
        <v>39</v>
      </c>
      <c r="P6" s="10" t="s">
        <v>39</v>
      </c>
      <c r="Q6" s="10">
        <v>0.32200000000000001</v>
      </c>
      <c r="R6" s="11">
        <v>86</v>
      </c>
      <c r="S6" s="11">
        <v>95.657142857142858</v>
      </c>
      <c r="T6" s="11">
        <v>60.966666666666669</v>
      </c>
      <c r="U6" s="11">
        <v>66.36</v>
      </c>
      <c r="V6" s="9">
        <v>16</v>
      </c>
      <c r="W6" s="9">
        <v>83.3</v>
      </c>
      <c r="X6" s="9">
        <v>18</v>
      </c>
      <c r="Y6" s="9">
        <v>0</v>
      </c>
      <c r="Z6" s="20">
        <v>10.899999618530273</v>
      </c>
      <c r="AA6" s="20">
        <v>31.899999618530273</v>
      </c>
      <c r="AB6" s="20">
        <v>38.700000762939453</v>
      </c>
      <c r="AC6" s="20">
        <v>15.699999809265137</v>
      </c>
      <c r="AD6" s="20">
        <v>93.2</v>
      </c>
      <c r="AE6" s="20">
        <v>83.32</v>
      </c>
      <c r="AF6" s="20">
        <v>54.466666666666669</v>
      </c>
      <c r="AG6" s="20">
        <v>17.700000762939453</v>
      </c>
      <c r="AH6" s="21">
        <v>0.79142857142857148</v>
      </c>
      <c r="AI6" s="21">
        <v>0.62857142857142867</v>
      </c>
      <c r="AJ6" s="21">
        <v>0</v>
      </c>
      <c r="AK6" s="21">
        <v>0.16714285714285712</v>
      </c>
    </row>
    <row r="7" spans="1:37" x14ac:dyDescent="0.3">
      <c r="A7" s="8" t="s">
        <v>9</v>
      </c>
      <c r="B7" s="9">
        <v>10</v>
      </c>
      <c r="C7" s="9">
        <v>31.8</v>
      </c>
      <c r="D7" s="9">
        <v>37.5</v>
      </c>
      <c r="E7" s="9">
        <v>15.2</v>
      </c>
      <c r="F7" s="10">
        <v>2.5150000000000001</v>
      </c>
      <c r="G7" s="10">
        <v>2.5</v>
      </c>
      <c r="H7" s="10">
        <v>1.345</v>
      </c>
      <c r="I7" s="10">
        <v>9.2999999999999999E-2</v>
      </c>
      <c r="J7" s="10">
        <v>3.125</v>
      </c>
      <c r="K7" s="10">
        <v>3.25</v>
      </c>
      <c r="L7" s="10">
        <v>0.25</v>
      </c>
      <c r="M7" s="10">
        <v>0.25</v>
      </c>
      <c r="N7" s="10">
        <v>0.48599999999999999</v>
      </c>
      <c r="O7" s="10" t="s">
        <v>39</v>
      </c>
      <c r="P7" s="10" t="s">
        <v>39</v>
      </c>
      <c r="Q7" s="10">
        <v>0.312</v>
      </c>
      <c r="R7" s="11">
        <v>86</v>
      </c>
      <c r="S7" s="11">
        <v>93</v>
      </c>
      <c r="T7" s="11">
        <v>59</v>
      </c>
      <c r="U7" s="11">
        <v>79</v>
      </c>
      <c r="V7" s="9">
        <v>16</v>
      </c>
      <c r="W7" s="9">
        <v>109.3</v>
      </c>
      <c r="X7" s="9">
        <v>18</v>
      </c>
      <c r="Y7" s="9">
        <v>0</v>
      </c>
      <c r="Z7" s="20">
        <v>11</v>
      </c>
      <c r="AA7" s="20">
        <v>30</v>
      </c>
      <c r="AB7" s="20">
        <v>36.700000762939453</v>
      </c>
      <c r="AC7" s="20">
        <v>15.699999809265137</v>
      </c>
      <c r="AD7" s="20">
        <v>93.2</v>
      </c>
      <c r="AE7" s="20">
        <v>82.47999999999999</v>
      </c>
      <c r="AF7" s="20">
        <v>52.700000762939453</v>
      </c>
      <c r="AG7" s="20">
        <v>17.600000381469727</v>
      </c>
      <c r="AH7" s="21">
        <v>0.79142857142857148</v>
      </c>
      <c r="AI7" s="21">
        <v>0.62857142857142867</v>
      </c>
      <c r="AJ7" s="21">
        <v>0</v>
      </c>
      <c r="AK7" s="21">
        <v>0.16714285714285712</v>
      </c>
    </row>
    <row r="8" spans="1:37" x14ac:dyDescent="0.3">
      <c r="A8" s="8" t="s">
        <v>10</v>
      </c>
      <c r="B8" s="9">
        <v>9.6999999999999993</v>
      </c>
      <c r="C8" s="9">
        <v>30.4</v>
      </c>
      <c r="D8" s="9">
        <v>36.200000000000003</v>
      </c>
      <c r="E8" s="9">
        <v>14.9</v>
      </c>
      <c r="F8" s="10">
        <v>2.5150000000000001</v>
      </c>
      <c r="G8" s="10">
        <v>2.5950000000000002</v>
      </c>
      <c r="H8" s="10">
        <v>1.345</v>
      </c>
      <c r="I8" s="10">
        <v>9.2999999999999999E-2</v>
      </c>
      <c r="J8" s="10">
        <v>3.125</v>
      </c>
      <c r="K8" s="10">
        <v>3.25</v>
      </c>
      <c r="L8" s="10">
        <v>0.25</v>
      </c>
      <c r="M8" s="10">
        <v>0.25</v>
      </c>
      <c r="N8" s="10">
        <v>0.48899999999999999</v>
      </c>
      <c r="O8" s="10" t="s">
        <v>39</v>
      </c>
      <c r="P8" s="10" t="s">
        <v>39</v>
      </c>
      <c r="Q8" s="10">
        <v>0.28599999999999998</v>
      </c>
      <c r="R8" s="11">
        <v>86</v>
      </c>
      <c r="S8" s="11">
        <v>93</v>
      </c>
      <c r="T8" s="11">
        <v>59</v>
      </c>
      <c r="U8" s="11">
        <v>79</v>
      </c>
      <c r="V8" s="9">
        <v>16</v>
      </c>
      <c r="W8" s="9">
        <v>109.3</v>
      </c>
      <c r="X8" s="9">
        <v>18</v>
      </c>
      <c r="Y8" s="9">
        <v>0</v>
      </c>
      <c r="Z8" s="20">
        <v>10.899999618530273</v>
      </c>
      <c r="AA8" s="20">
        <v>28.399999618530273</v>
      </c>
      <c r="AB8" s="20">
        <v>35.5</v>
      </c>
      <c r="AC8" s="20">
        <v>15.5</v>
      </c>
      <c r="AD8" s="20">
        <v>93.2</v>
      </c>
      <c r="AE8" s="20">
        <v>81.639999999999986</v>
      </c>
      <c r="AF8" s="20">
        <v>50.933334096272787</v>
      </c>
      <c r="AG8" s="20">
        <v>17.5</v>
      </c>
      <c r="AH8" s="21">
        <v>0.79142857142857148</v>
      </c>
      <c r="AI8" s="21">
        <v>0.55714285714285716</v>
      </c>
      <c r="AJ8" s="21">
        <v>0</v>
      </c>
      <c r="AK8" s="21">
        <v>0.16714285714285712</v>
      </c>
    </row>
    <row r="9" spans="1:37" x14ac:dyDescent="0.3">
      <c r="A9" s="8" t="s">
        <v>11</v>
      </c>
      <c r="B9" s="9">
        <v>9.3000000000000007</v>
      </c>
      <c r="C9" s="9">
        <v>29.2</v>
      </c>
      <c r="D9" s="9">
        <v>33.9</v>
      </c>
      <c r="E9" s="9">
        <v>14.3</v>
      </c>
      <c r="F9" s="10">
        <v>2.5150000000000001</v>
      </c>
      <c r="G9" s="10">
        <v>2.5950000000000002</v>
      </c>
      <c r="H9" s="10">
        <v>1.345</v>
      </c>
      <c r="I9" s="10">
        <v>9.2999999999999999E-2</v>
      </c>
      <c r="J9" s="10">
        <v>3.125</v>
      </c>
      <c r="K9" s="10">
        <v>3.125</v>
      </c>
      <c r="L9" s="10">
        <v>0.25</v>
      </c>
      <c r="M9" s="10">
        <v>0.25</v>
      </c>
      <c r="N9" s="10">
        <v>0.48599999999999999</v>
      </c>
      <c r="O9" s="10" t="s">
        <v>39</v>
      </c>
      <c r="P9" s="10" t="s">
        <v>39</v>
      </c>
      <c r="Q9" s="10">
        <v>0.28699999999999998</v>
      </c>
      <c r="R9" s="11">
        <v>86</v>
      </c>
      <c r="S9" s="11">
        <v>93</v>
      </c>
      <c r="T9" s="11">
        <v>59</v>
      </c>
      <c r="U9" s="11">
        <v>79</v>
      </c>
      <c r="V9" s="9">
        <v>16</v>
      </c>
      <c r="W9" s="9">
        <v>109.3</v>
      </c>
      <c r="X9" s="9">
        <v>18</v>
      </c>
      <c r="Y9" s="9">
        <v>0</v>
      </c>
      <c r="Z9" s="20">
        <v>11.100000381469727</v>
      </c>
      <c r="AA9" s="20">
        <v>27.299999237060547</v>
      </c>
      <c r="AB9" s="20">
        <v>33.5</v>
      </c>
      <c r="AC9" s="20">
        <v>14.899999618530273</v>
      </c>
      <c r="AD9" s="20">
        <v>93.2</v>
      </c>
      <c r="AE9" s="20">
        <v>80.800003051757813</v>
      </c>
      <c r="AF9" s="20">
        <v>50</v>
      </c>
      <c r="AG9" s="20">
        <v>16.700000762939453</v>
      </c>
      <c r="AH9" s="21">
        <v>0.79142857142857148</v>
      </c>
      <c r="AI9" s="21">
        <v>0.58142857142857152</v>
      </c>
      <c r="AJ9" s="21">
        <v>0</v>
      </c>
      <c r="AK9" s="21">
        <v>0.16714285714285712</v>
      </c>
    </row>
    <row r="10" spans="1:37" x14ac:dyDescent="0.3">
      <c r="A10" s="8" t="s">
        <v>12</v>
      </c>
      <c r="B10" s="9">
        <v>9.1999999999999993</v>
      </c>
      <c r="C10" s="9">
        <v>27.8</v>
      </c>
      <c r="D10" s="9">
        <v>32.6</v>
      </c>
      <c r="E10" s="9">
        <v>14</v>
      </c>
      <c r="F10" s="10">
        <v>2.5150000000000001</v>
      </c>
      <c r="G10" s="10">
        <v>2.5950000000000002</v>
      </c>
      <c r="H10" s="10">
        <v>1.345</v>
      </c>
      <c r="I10" s="10">
        <v>9.2999999999999999E-2</v>
      </c>
      <c r="J10" s="10">
        <v>3.125</v>
      </c>
      <c r="K10" s="10">
        <v>3.125</v>
      </c>
      <c r="L10" s="10">
        <v>0.25</v>
      </c>
      <c r="M10" s="10">
        <v>0.25</v>
      </c>
      <c r="N10" s="10">
        <v>0.49099999999999999</v>
      </c>
      <c r="O10" s="10" t="s">
        <v>39</v>
      </c>
      <c r="P10" s="10" t="s">
        <v>39</v>
      </c>
      <c r="Q10" s="10">
        <v>0.28699999999999998</v>
      </c>
      <c r="R10" s="11">
        <v>86.754385964912274</v>
      </c>
      <c r="S10" s="11">
        <v>91.671428571428578</v>
      </c>
      <c r="T10" s="11">
        <v>60.966666666666669</v>
      </c>
      <c r="U10" s="11">
        <v>79</v>
      </c>
      <c r="V10" s="9">
        <v>16</v>
      </c>
      <c r="W10" s="9">
        <v>109.3</v>
      </c>
      <c r="X10" s="9">
        <v>18</v>
      </c>
      <c r="Y10" s="9">
        <v>0</v>
      </c>
      <c r="Z10" s="20">
        <v>10.800000190734863</v>
      </c>
      <c r="AA10" s="20">
        <v>25.799999237060547</v>
      </c>
      <c r="AB10" s="20">
        <v>32.200000762939453</v>
      </c>
      <c r="AC10" s="20">
        <v>14.5</v>
      </c>
      <c r="AD10" s="20">
        <v>93.2</v>
      </c>
      <c r="AE10" s="20">
        <v>75.699996948242188</v>
      </c>
      <c r="AF10" s="20">
        <v>50</v>
      </c>
      <c r="AG10" s="20">
        <v>16.200000762939453</v>
      </c>
      <c r="AH10" s="21">
        <v>0.79142857142857148</v>
      </c>
      <c r="AI10" s="21">
        <v>0.58142857142857152</v>
      </c>
      <c r="AJ10" s="21">
        <v>0</v>
      </c>
      <c r="AK10" s="21">
        <v>0.16714285714285712</v>
      </c>
    </row>
    <row r="11" spans="1:37" x14ac:dyDescent="0.3">
      <c r="A11" s="8" t="s">
        <v>13</v>
      </c>
      <c r="B11" s="9">
        <v>9.1999999999999993</v>
      </c>
      <c r="C11" s="9">
        <v>27</v>
      </c>
      <c r="D11" s="9">
        <v>31.4</v>
      </c>
      <c r="E11" s="9">
        <v>13.6</v>
      </c>
      <c r="F11" s="10">
        <v>2.5150000000000001</v>
      </c>
      <c r="G11" s="10">
        <v>2.5950000000000002</v>
      </c>
      <c r="H11" s="10">
        <v>1.345</v>
      </c>
      <c r="I11" s="10">
        <v>9.2999999999999999E-2</v>
      </c>
      <c r="J11" s="10">
        <v>3.125</v>
      </c>
      <c r="K11" s="10">
        <v>2.5</v>
      </c>
      <c r="L11" s="10">
        <v>0.25</v>
      </c>
      <c r="M11" s="10">
        <v>0.25</v>
      </c>
      <c r="N11" s="10">
        <v>0.497</v>
      </c>
      <c r="O11" s="10" t="s">
        <v>39</v>
      </c>
      <c r="P11" s="10" t="s">
        <v>39</v>
      </c>
      <c r="Q11" s="10">
        <v>0.307</v>
      </c>
      <c r="R11" s="11">
        <v>87.508771929824562</v>
      </c>
      <c r="S11" s="11">
        <v>90.342857142857142</v>
      </c>
      <c r="T11" s="11">
        <v>62.93333333333333</v>
      </c>
      <c r="U11" s="11">
        <v>79</v>
      </c>
      <c r="V11" s="9">
        <v>16</v>
      </c>
      <c r="W11" s="9">
        <v>109.3</v>
      </c>
      <c r="X11" s="9">
        <v>18</v>
      </c>
      <c r="Y11" s="9">
        <v>0</v>
      </c>
      <c r="Z11" s="20">
        <v>10.5</v>
      </c>
      <c r="AA11" s="20">
        <v>25</v>
      </c>
      <c r="AB11" s="20">
        <v>31.100000381469727</v>
      </c>
      <c r="AC11" s="20">
        <v>14.100000381469727</v>
      </c>
      <c r="AD11" s="20">
        <v>93.699996948242188</v>
      </c>
      <c r="AE11" s="20">
        <v>74.900001525878906</v>
      </c>
      <c r="AF11" s="20">
        <v>50</v>
      </c>
      <c r="AG11" s="20">
        <v>15.600000381469727</v>
      </c>
      <c r="AH11" s="21">
        <v>0.79142857142857148</v>
      </c>
      <c r="AI11" s="21">
        <v>0.58142857142857152</v>
      </c>
      <c r="AJ11" s="21">
        <v>0</v>
      </c>
      <c r="AK11" s="21">
        <v>0.16714285714285712</v>
      </c>
    </row>
    <row r="12" spans="1:37" x14ac:dyDescent="0.3">
      <c r="A12" s="8" t="s">
        <v>14</v>
      </c>
      <c r="B12" s="9">
        <v>9.4</v>
      </c>
      <c r="C12" s="9">
        <v>25.9</v>
      </c>
      <c r="D12" s="9">
        <v>30.1</v>
      </c>
      <c r="E12" s="9">
        <v>13.4</v>
      </c>
      <c r="F12" s="10">
        <v>2.5150000000000001</v>
      </c>
      <c r="G12" s="10">
        <v>2.5950000000000002</v>
      </c>
      <c r="H12" s="10">
        <v>1.345</v>
      </c>
      <c r="I12" s="10">
        <v>9.2999999999999999E-2</v>
      </c>
      <c r="J12" s="10">
        <v>3.125</v>
      </c>
      <c r="K12" s="10">
        <v>2</v>
      </c>
      <c r="L12" s="10">
        <v>0.25</v>
      </c>
      <c r="M12" s="10">
        <v>0.25</v>
      </c>
      <c r="N12" s="10">
        <v>0.50700000000000001</v>
      </c>
      <c r="O12" s="10" t="s">
        <v>39</v>
      </c>
      <c r="P12" s="10" t="s">
        <v>39</v>
      </c>
      <c r="Q12" s="10">
        <v>0.309</v>
      </c>
      <c r="R12" s="11">
        <v>86.754385964912274</v>
      </c>
      <c r="S12" s="11">
        <v>91.671428571428578</v>
      </c>
      <c r="T12" s="11">
        <v>60.966666666666669</v>
      </c>
      <c r="U12" s="11">
        <v>79</v>
      </c>
      <c r="V12" s="9">
        <v>16</v>
      </c>
      <c r="W12" s="9">
        <v>109.3</v>
      </c>
      <c r="X12" s="9">
        <v>18</v>
      </c>
      <c r="Y12" s="9">
        <v>0</v>
      </c>
      <c r="Z12" s="20">
        <v>10.5</v>
      </c>
      <c r="AA12" s="20">
        <v>24.100000381469727</v>
      </c>
      <c r="AB12" s="20">
        <v>30.100000381469727</v>
      </c>
      <c r="AC12" s="20">
        <v>13.899999618530273</v>
      </c>
      <c r="AD12" s="20">
        <v>94.271425519670757</v>
      </c>
      <c r="AE12" s="20">
        <v>73.599998474121094</v>
      </c>
      <c r="AF12" s="20">
        <v>50</v>
      </c>
      <c r="AG12" s="20">
        <v>15.399999618530273</v>
      </c>
      <c r="AH12" s="21">
        <v>0.79142857142857148</v>
      </c>
      <c r="AI12" s="21">
        <v>0.58142857142857152</v>
      </c>
      <c r="AJ12" s="21">
        <v>0.15714285714285717</v>
      </c>
      <c r="AK12" s="21">
        <v>0.16714285714285712</v>
      </c>
    </row>
    <row r="13" spans="1:37" x14ac:dyDescent="0.3">
      <c r="A13" s="8" t="s">
        <v>15</v>
      </c>
      <c r="B13" s="9">
        <v>9.6</v>
      </c>
      <c r="C13" s="9">
        <v>25.3</v>
      </c>
      <c r="D13" s="9">
        <v>30</v>
      </c>
      <c r="E13" s="9">
        <v>13.4</v>
      </c>
      <c r="F13" s="10">
        <v>2.5790000000000002</v>
      </c>
      <c r="G13" s="10">
        <v>2.5950000000000002</v>
      </c>
      <c r="H13" s="10">
        <v>1.345</v>
      </c>
      <c r="I13" s="10">
        <v>9.2999999999999999E-2</v>
      </c>
      <c r="J13" s="10">
        <v>3.125</v>
      </c>
      <c r="K13" s="10">
        <v>2</v>
      </c>
      <c r="L13" s="10">
        <v>0.25</v>
      </c>
      <c r="M13" s="10">
        <v>0.25</v>
      </c>
      <c r="N13" s="10">
        <v>0.503</v>
      </c>
      <c r="O13" s="10" t="s">
        <v>39</v>
      </c>
      <c r="P13" s="10">
        <v>0.35499999999999998</v>
      </c>
      <c r="Q13" s="10">
        <v>0.29599999999999999</v>
      </c>
      <c r="R13" s="11">
        <v>86</v>
      </c>
      <c r="S13" s="11">
        <v>93</v>
      </c>
      <c r="T13" s="11">
        <v>59</v>
      </c>
      <c r="U13" s="11">
        <v>79</v>
      </c>
      <c r="V13" s="9">
        <v>16</v>
      </c>
      <c r="W13" s="9">
        <v>109.3</v>
      </c>
      <c r="X13" s="9">
        <v>18</v>
      </c>
      <c r="Y13" s="9">
        <v>0</v>
      </c>
      <c r="Z13" s="20">
        <v>10.800000190734863</v>
      </c>
      <c r="AA13" s="20">
        <v>23.200000762939453</v>
      </c>
      <c r="AB13" s="20">
        <v>29.700000762939453</v>
      </c>
      <c r="AC13" s="20">
        <v>13.899999618530273</v>
      </c>
      <c r="AD13" s="20">
        <v>94.842854091099326</v>
      </c>
      <c r="AE13" s="20">
        <v>70.599998474121094</v>
      </c>
      <c r="AF13" s="20">
        <v>50</v>
      </c>
      <c r="AG13" s="20">
        <v>15.300000190734863</v>
      </c>
      <c r="AH13" s="21">
        <v>0.79142857142857148</v>
      </c>
      <c r="AI13" s="21">
        <v>0.58142857142857152</v>
      </c>
      <c r="AJ13" s="21">
        <v>0.18142857142857144</v>
      </c>
      <c r="AK13" s="21">
        <v>0.16714285714285712</v>
      </c>
    </row>
    <row r="14" spans="1:37" x14ac:dyDescent="0.3">
      <c r="A14" s="8" t="s">
        <v>16</v>
      </c>
      <c r="B14" s="9">
        <v>9.5</v>
      </c>
      <c r="C14" s="9">
        <v>24.6</v>
      </c>
      <c r="D14" s="9">
        <v>29.7</v>
      </c>
      <c r="E14" s="9">
        <v>12.9</v>
      </c>
      <c r="F14" s="10">
        <v>2.5790000000000002</v>
      </c>
      <c r="G14" s="10">
        <v>2.5950000000000002</v>
      </c>
      <c r="H14" s="10">
        <v>1.5109999999999999</v>
      </c>
      <c r="I14" s="10">
        <v>9.2999999999999999E-2</v>
      </c>
      <c r="J14" s="10">
        <v>3.125</v>
      </c>
      <c r="K14" s="10">
        <v>2</v>
      </c>
      <c r="L14" s="10">
        <v>0.25</v>
      </c>
      <c r="M14" s="10">
        <v>0.25</v>
      </c>
      <c r="N14" s="10">
        <v>0.501</v>
      </c>
      <c r="O14" s="10" t="s">
        <v>39</v>
      </c>
      <c r="P14" s="10">
        <v>0.34</v>
      </c>
      <c r="Q14" s="10">
        <v>0.28499999999999998</v>
      </c>
      <c r="R14" s="11">
        <v>86</v>
      </c>
      <c r="S14" s="11">
        <v>93</v>
      </c>
      <c r="T14" s="11">
        <v>59</v>
      </c>
      <c r="U14" s="11">
        <v>79</v>
      </c>
      <c r="V14" s="9">
        <v>16</v>
      </c>
      <c r="W14" s="9">
        <v>109.3</v>
      </c>
      <c r="X14" s="9">
        <v>18</v>
      </c>
      <c r="Y14" s="9">
        <v>0</v>
      </c>
      <c r="Z14" s="20">
        <v>10.800000190734863</v>
      </c>
      <c r="AA14" s="20">
        <v>22</v>
      </c>
      <c r="AB14" s="20">
        <v>29.799999237060547</v>
      </c>
      <c r="AC14" s="20">
        <v>13.399999618530273</v>
      </c>
      <c r="AD14" s="20">
        <v>95.414282662527896</v>
      </c>
      <c r="AE14" s="20">
        <v>67.800003051757813</v>
      </c>
      <c r="AF14" s="20">
        <v>50</v>
      </c>
      <c r="AG14" s="20">
        <v>14.899999618530273</v>
      </c>
      <c r="AH14" s="21">
        <v>0.82714285714285718</v>
      </c>
      <c r="AI14" s="21">
        <v>0.58142857142857152</v>
      </c>
      <c r="AJ14" s="21">
        <v>0.18142857142857144</v>
      </c>
      <c r="AK14" s="21">
        <v>0.16714285714285712</v>
      </c>
    </row>
    <row r="15" spans="1:37" x14ac:dyDescent="0.3">
      <c r="A15" s="8" t="s">
        <v>17</v>
      </c>
      <c r="B15" s="9">
        <v>9.4</v>
      </c>
      <c r="C15" s="9">
        <v>23.7</v>
      </c>
      <c r="D15" s="9">
        <v>29</v>
      </c>
      <c r="E15" s="9">
        <v>12.9</v>
      </c>
      <c r="F15" s="10">
        <v>2.5790000000000002</v>
      </c>
      <c r="G15" s="10">
        <v>2.5950000000000002</v>
      </c>
      <c r="H15" s="10">
        <v>1.5109999999999999</v>
      </c>
      <c r="I15" s="10">
        <v>9.2999999999999999E-2</v>
      </c>
      <c r="J15" s="10">
        <v>3.125</v>
      </c>
      <c r="K15" s="10">
        <v>2</v>
      </c>
      <c r="L15" s="10">
        <v>0.25</v>
      </c>
      <c r="M15" s="10">
        <v>0.25</v>
      </c>
      <c r="N15" s="10">
        <v>0.50800000000000001</v>
      </c>
      <c r="O15" s="10" t="s">
        <v>39</v>
      </c>
      <c r="P15" s="10">
        <v>0.33</v>
      </c>
      <c r="Q15" s="10">
        <v>0.27</v>
      </c>
      <c r="R15" s="12">
        <v>86</v>
      </c>
      <c r="S15" s="12">
        <v>93</v>
      </c>
      <c r="T15" s="12">
        <v>59</v>
      </c>
      <c r="U15" s="12">
        <v>79</v>
      </c>
      <c r="V15" s="9">
        <v>16</v>
      </c>
      <c r="W15" s="9">
        <v>58</v>
      </c>
      <c r="X15" s="9">
        <v>18</v>
      </c>
      <c r="Y15" s="9">
        <v>0</v>
      </c>
      <c r="Z15" s="20">
        <v>10.800000190734863</v>
      </c>
      <c r="AA15" s="20">
        <v>21.399999618530273</v>
      </c>
      <c r="AB15" s="20">
        <v>29.299999237060547</v>
      </c>
      <c r="AC15" s="20">
        <v>13.300000190734863</v>
      </c>
      <c r="AD15" s="20">
        <v>95.985711233956465</v>
      </c>
      <c r="AE15" s="20">
        <v>68.800003051757813</v>
      </c>
      <c r="AF15" s="20">
        <v>50</v>
      </c>
      <c r="AG15" s="20">
        <v>14.699999809265137</v>
      </c>
      <c r="AH15" s="21">
        <v>0.82714285714285718</v>
      </c>
      <c r="AI15" s="21">
        <v>0.58142857142857152</v>
      </c>
      <c r="AJ15" s="21">
        <v>0.18142857142857144</v>
      </c>
      <c r="AK15" s="21">
        <v>0.16714285714285712</v>
      </c>
    </row>
    <row r="16" spans="1:37" x14ac:dyDescent="0.3">
      <c r="A16" s="8" t="s">
        <v>18</v>
      </c>
      <c r="B16" s="9">
        <v>9.5</v>
      </c>
      <c r="C16" s="9">
        <v>23.5</v>
      </c>
      <c r="D16" s="9">
        <v>28.7</v>
      </c>
      <c r="E16" s="9">
        <v>12.8</v>
      </c>
      <c r="F16" s="10">
        <v>2.5790000000000002</v>
      </c>
      <c r="G16" s="10">
        <v>2.5950000000000002</v>
      </c>
      <c r="H16" s="10">
        <v>1.5109999999999999</v>
      </c>
      <c r="I16" s="10">
        <v>9.2999999999999999E-2</v>
      </c>
      <c r="J16" s="10">
        <v>3.125</v>
      </c>
      <c r="K16" s="10">
        <v>2</v>
      </c>
      <c r="L16" s="10">
        <v>0.25</v>
      </c>
      <c r="M16" s="10">
        <v>0.25</v>
      </c>
      <c r="N16" s="10">
        <v>0.51</v>
      </c>
      <c r="O16" s="10" t="s">
        <v>39</v>
      </c>
      <c r="P16" s="10">
        <v>0.34799999999999998</v>
      </c>
      <c r="Q16" s="10">
        <v>0.26200000000000001</v>
      </c>
      <c r="R16" s="12">
        <v>85</v>
      </c>
      <c r="S16" s="12">
        <v>93</v>
      </c>
      <c r="T16" s="12">
        <v>59</v>
      </c>
      <c r="U16" s="12">
        <v>78</v>
      </c>
      <c r="V16" s="9">
        <v>16</v>
      </c>
      <c r="W16" s="9">
        <v>58</v>
      </c>
      <c r="X16" s="9">
        <v>18</v>
      </c>
      <c r="Y16" s="9">
        <v>0</v>
      </c>
      <c r="Z16" s="20">
        <v>10.800000190734863</v>
      </c>
      <c r="AA16" s="20">
        <v>21.100000381469727</v>
      </c>
      <c r="AB16" s="20">
        <v>28.799999237060547</v>
      </c>
      <c r="AC16" s="20">
        <v>13.300000190734863</v>
      </c>
      <c r="AD16" s="20">
        <v>96.557139805385034</v>
      </c>
      <c r="AE16" s="20">
        <v>67.800003051757813</v>
      </c>
      <c r="AF16" s="20">
        <v>50</v>
      </c>
      <c r="AG16" s="20">
        <v>14.5</v>
      </c>
      <c r="AH16" s="21">
        <v>0.82714285714285718</v>
      </c>
      <c r="AI16" s="21">
        <v>0.58142857142857152</v>
      </c>
      <c r="AJ16" s="21">
        <v>0.18142857142857144</v>
      </c>
      <c r="AK16" s="21">
        <v>0.16714285714285712</v>
      </c>
    </row>
    <row r="17" spans="1:37" x14ac:dyDescent="0.3">
      <c r="A17" s="8" t="s">
        <v>19</v>
      </c>
      <c r="B17" s="9">
        <v>9.1999999999999993</v>
      </c>
      <c r="C17" s="9">
        <v>23</v>
      </c>
      <c r="D17" s="9">
        <v>28.5</v>
      </c>
      <c r="E17" s="9">
        <v>12.4</v>
      </c>
      <c r="F17" s="10">
        <v>2.706</v>
      </c>
      <c r="G17" s="10">
        <v>2.5950000000000002</v>
      </c>
      <c r="H17" s="10">
        <v>1.5109999999999999</v>
      </c>
      <c r="I17" s="10">
        <v>9.2999999999999999E-2</v>
      </c>
      <c r="J17" s="10">
        <v>3.125</v>
      </c>
      <c r="K17" s="10">
        <v>1.5</v>
      </c>
      <c r="L17" s="10">
        <v>0.375</v>
      </c>
      <c r="M17" s="10">
        <v>0.25</v>
      </c>
      <c r="N17" s="10">
        <v>0.51600000000000001</v>
      </c>
      <c r="O17" s="10" t="s">
        <v>39</v>
      </c>
      <c r="P17" s="10">
        <v>0.34499999999999997</v>
      </c>
      <c r="Q17" s="10">
        <v>0.25700000000000001</v>
      </c>
      <c r="R17" s="12">
        <v>84</v>
      </c>
      <c r="S17" s="12">
        <v>93</v>
      </c>
      <c r="T17" s="12">
        <v>59</v>
      </c>
      <c r="U17" s="12">
        <v>81</v>
      </c>
      <c r="V17" s="9">
        <v>16</v>
      </c>
      <c r="W17" s="9">
        <v>58</v>
      </c>
      <c r="X17" s="9">
        <v>26</v>
      </c>
      <c r="Y17" s="9">
        <v>0</v>
      </c>
      <c r="Z17" s="20">
        <v>10.800000190734863</v>
      </c>
      <c r="AA17" s="20">
        <v>20.700000762939453</v>
      </c>
      <c r="AB17" s="20">
        <v>29.299999237060547</v>
      </c>
      <c r="AC17" s="20">
        <v>12.899999618530273</v>
      </c>
      <c r="AD17" s="20">
        <v>97.128568376813604</v>
      </c>
      <c r="AE17" s="20">
        <v>67.599998474121094</v>
      </c>
      <c r="AF17" s="20">
        <v>50</v>
      </c>
      <c r="AG17" s="20">
        <v>14.300000190734863</v>
      </c>
      <c r="AH17" s="21">
        <v>0.79142857142857148</v>
      </c>
      <c r="AI17" s="21">
        <v>0.58142857142857152</v>
      </c>
      <c r="AJ17" s="21">
        <v>0.18142857142857144</v>
      </c>
      <c r="AK17" s="21">
        <v>0.16714285714285712</v>
      </c>
    </row>
    <row r="18" spans="1:37" x14ac:dyDescent="0.3">
      <c r="A18" s="8" t="s">
        <v>20</v>
      </c>
      <c r="B18" s="9">
        <v>8.9</v>
      </c>
      <c r="C18" s="9">
        <v>22.2</v>
      </c>
      <c r="D18" s="9">
        <v>27.6</v>
      </c>
      <c r="E18" s="9">
        <v>12</v>
      </c>
      <c r="F18" s="10">
        <v>2.706</v>
      </c>
      <c r="G18" s="10">
        <v>2.5950000000000002</v>
      </c>
      <c r="H18" s="10">
        <v>1.5109999999999999</v>
      </c>
      <c r="I18" s="10">
        <v>9.2999999999999999E-2</v>
      </c>
      <c r="J18" s="10">
        <v>3.125</v>
      </c>
      <c r="K18" s="10">
        <v>1</v>
      </c>
      <c r="L18" s="10">
        <v>0.375</v>
      </c>
      <c r="M18" s="10">
        <v>0.25</v>
      </c>
      <c r="N18" s="10">
        <v>0.53</v>
      </c>
      <c r="O18" s="10" t="s">
        <v>39</v>
      </c>
      <c r="P18" s="10">
        <v>0.35599999999999998</v>
      </c>
      <c r="Q18" s="10">
        <v>0.249</v>
      </c>
      <c r="R18" s="12">
        <v>85</v>
      </c>
      <c r="S18" s="12">
        <v>93</v>
      </c>
      <c r="T18" s="12">
        <v>59</v>
      </c>
      <c r="U18" s="12">
        <v>81</v>
      </c>
      <c r="V18" s="9">
        <v>42</v>
      </c>
      <c r="W18" s="9">
        <v>58</v>
      </c>
      <c r="X18" s="9">
        <v>26</v>
      </c>
      <c r="Y18" s="9">
        <v>0</v>
      </c>
      <c r="Z18" s="20">
        <v>10.5</v>
      </c>
      <c r="AA18" s="20">
        <v>19.799999237060547</v>
      </c>
      <c r="AB18" s="20">
        <v>28.799999237060547</v>
      </c>
      <c r="AC18" s="20">
        <v>12.5</v>
      </c>
      <c r="AD18" s="20">
        <v>97.699996948242188</v>
      </c>
      <c r="AE18" s="20">
        <v>65.800003051757813</v>
      </c>
      <c r="AF18" s="20">
        <v>50</v>
      </c>
      <c r="AG18" s="20">
        <v>13.800000190734863</v>
      </c>
      <c r="AH18" s="21">
        <v>0.79142857142857148</v>
      </c>
      <c r="AI18" s="21">
        <v>0.58142857142857152</v>
      </c>
      <c r="AJ18" s="21">
        <v>0.18142857142857144</v>
      </c>
      <c r="AK18" s="21">
        <v>0.16714285714285712</v>
      </c>
    </row>
    <row r="19" spans="1:37" x14ac:dyDescent="0.3">
      <c r="A19" s="8" t="s">
        <v>21</v>
      </c>
      <c r="B19" s="9">
        <v>8.6</v>
      </c>
      <c r="C19" s="9">
        <v>21.5</v>
      </c>
      <c r="D19" s="9">
        <v>27</v>
      </c>
      <c r="E19" s="9">
        <v>12</v>
      </c>
      <c r="F19" s="10">
        <v>2.706</v>
      </c>
      <c r="G19" s="10">
        <v>2.5950000000000002</v>
      </c>
      <c r="H19" s="10">
        <v>1.5109999999999999</v>
      </c>
      <c r="I19" s="10">
        <v>9.2999999999999999E-2</v>
      </c>
      <c r="J19" s="10">
        <v>3.125</v>
      </c>
      <c r="K19" s="10">
        <v>1</v>
      </c>
      <c r="L19" s="10">
        <v>0.375</v>
      </c>
      <c r="M19" s="10">
        <v>0.25</v>
      </c>
      <c r="N19" s="10">
        <v>0.54100000000000004</v>
      </c>
      <c r="O19" s="10" t="s">
        <v>39</v>
      </c>
      <c r="P19" s="10">
        <v>0.36899999999999999</v>
      </c>
      <c r="Q19" s="10">
        <v>0.24399999999999999</v>
      </c>
      <c r="R19" s="12">
        <v>84</v>
      </c>
      <c r="S19" s="12">
        <v>93</v>
      </c>
      <c r="T19" s="12">
        <v>59</v>
      </c>
      <c r="U19" s="12">
        <v>80</v>
      </c>
      <c r="V19" s="9">
        <v>42</v>
      </c>
      <c r="W19" s="9">
        <v>58</v>
      </c>
      <c r="X19" s="9">
        <v>26</v>
      </c>
      <c r="Y19" s="9">
        <v>0</v>
      </c>
      <c r="Z19" s="20">
        <v>10.5</v>
      </c>
      <c r="AA19" s="20">
        <v>19.600000381469727</v>
      </c>
      <c r="AB19" s="20">
        <v>28.600000381469727</v>
      </c>
      <c r="AC19" s="20">
        <v>12.5</v>
      </c>
      <c r="AD19" s="20">
        <v>97.7</v>
      </c>
      <c r="AE19" s="20">
        <v>64.900001525878906</v>
      </c>
      <c r="AF19" s="20">
        <v>50.299999237060547</v>
      </c>
      <c r="AG19" s="20">
        <v>13.699999809265137</v>
      </c>
      <c r="AH19" s="21">
        <v>0.79142857142857148</v>
      </c>
      <c r="AI19" s="21">
        <v>0.58142857142857152</v>
      </c>
      <c r="AJ19" s="21">
        <v>0.18142857142857144</v>
      </c>
      <c r="AK19" s="21">
        <v>0.16714285714285712</v>
      </c>
    </row>
    <row r="20" spans="1:37" x14ac:dyDescent="0.3">
      <c r="A20" s="8" t="s">
        <v>22</v>
      </c>
      <c r="B20" s="9">
        <v>8.6</v>
      </c>
      <c r="C20" s="9">
        <v>20.6</v>
      </c>
      <c r="D20" s="9">
        <v>27.2</v>
      </c>
      <c r="E20" s="9">
        <v>11.5</v>
      </c>
      <c r="F20" s="10">
        <v>2.706</v>
      </c>
      <c r="G20" s="10">
        <v>2.5950000000000002</v>
      </c>
      <c r="H20" s="10">
        <v>1.5109999999999999</v>
      </c>
      <c r="I20" s="10">
        <v>9.2999999999999999E-2</v>
      </c>
      <c r="J20" s="10">
        <v>3.125</v>
      </c>
      <c r="K20" s="10">
        <v>1</v>
      </c>
      <c r="L20" s="10">
        <v>0.375</v>
      </c>
      <c r="M20" s="10">
        <v>0.25</v>
      </c>
      <c r="N20" s="10">
        <v>0.51</v>
      </c>
      <c r="O20" s="10" t="s">
        <v>39</v>
      </c>
      <c r="P20" s="10">
        <v>0.371</v>
      </c>
      <c r="Q20" s="10">
        <v>0.23599999999999999</v>
      </c>
      <c r="R20" s="12">
        <v>84</v>
      </c>
      <c r="S20" s="12">
        <v>93</v>
      </c>
      <c r="T20" s="12">
        <v>59</v>
      </c>
      <c r="U20" s="12">
        <v>79</v>
      </c>
      <c r="V20" s="9">
        <v>42</v>
      </c>
      <c r="W20" s="9">
        <v>58</v>
      </c>
      <c r="X20" s="9">
        <v>26</v>
      </c>
      <c r="Y20" s="9">
        <v>0</v>
      </c>
      <c r="Z20" s="20">
        <v>10.5</v>
      </c>
      <c r="AA20" s="20">
        <v>19.100000381469727</v>
      </c>
      <c r="AB20" s="20">
        <v>28.299999237060547</v>
      </c>
      <c r="AC20" s="20">
        <v>12</v>
      </c>
      <c r="AD20" s="20">
        <v>97.7</v>
      </c>
      <c r="AE20" s="20">
        <v>63.299999237060547</v>
      </c>
      <c r="AF20" s="20">
        <v>50.700000762939453</v>
      </c>
      <c r="AG20" s="20">
        <v>13.100000381469727</v>
      </c>
      <c r="AH20" s="21">
        <v>0.79142857142857148</v>
      </c>
      <c r="AI20" s="21">
        <v>0.58142857142857152</v>
      </c>
      <c r="AJ20" s="21">
        <v>0.18142857142857144</v>
      </c>
      <c r="AK20" s="21">
        <v>0.16714285714285712</v>
      </c>
    </row>
    <row r="21" spans="1:37" x14ac:dyDescent="0.3">
      <c r="A21" s="8" t="s">
        <v>23</v>
      </c>
      <c r="B21" s="9">
        <v>8.5</v>
      </c>
      <c r="C21" s="9">
        <v>19.8</v>
      </c>
      <c r="D21" s="9">
        <v>27.2</v>
      </c>
      <c r="E21" s="9">
        <v>11.6</v>
      </c>
      <c r="F21" s="10">
        <v>2.706</v>
      </c>
      <c r="G21" s="10">
        <v>2.5950000000000002</v>
      </c>
      <c r="H21" s="10">
        <v>1.5109999999999999</v>
      </c>
      <c r="I21" s="10">
        <v>9.2999999999999999E-2</v>
      </c>
      <c r="J21" s="10">
        <v>3.125</v>
      </c>
      <c r="K21" s="10">
        <v>1</v>
      </c>
      <c r="L21" s="10">
        <v>0.375</v>
      </c>
      <c r="M21" s="10">
        <v>0.25</v>
      </c>
      <c r="N21" s="10">
        <v>0.50700000000000001</v>
      </c>
      <c r="O21" s="10" t="s">
        <v>39</v>
      </c>
      <c r="P21" s="10">
        <v>0.38200000000000001</v>
      </c>
      <c r="Q21" s="10">
        <v>0.23400000000000001</v>
      </c>
      <c r="R21" s="12">
        <v>84</v>
      </c>
      <c r="S21" s="12">
        <v>92</v>
      </c>
      <c r="T21" s="12">
        <v>59</v>
      </c>
      <c r="U21" s="12">
        <v>77</v>
      </c>
      <c r="V21" s="9">
        <v>42</v>
      </c>
      <c r="W21" s="9">
        <v>58</v>
      </c>
      <c r="X21" s="9">
        <v>39</v>
      </c>
      <c r="Y21" s="9">
        <v>0</v>
      </c>
      <c r="Z21" s="20">
        <v>10.5</v>
      </c>
      <c r="AA21" s="20">
        <v>18.399999618530273</v>
      </c>
      <c r="AB21" s="20">
        <v>28</v>
      </c>
      <c r="AC21" s="20">
        <v>12.100000381469727</v>
      </c>
      <c r="AD21" s="20">
        <v>97.7</v>
      </c>
      <c r="AE21" s="20">
        <v>61.700000762939453</v>
      </c>
      <c r="AF21" s="20">
        <v>49.700000762939453</v>
      </c>
      <c r="AG21" s="20">
        <v>13.300000190734863</v>
      </c>
      <c r="AH21" s="21">
        <v>0.79142857142857148</v>
      </c>
      <c r="AI21" s="21">
        <v>0.58142857142857152</v>
      </c>
      <c r="AJ21" s="21">
        <v>0.18142857142857144</v>
      </c>
      <c r="AK21" s="21">
        <v>0.16714285714285712</v>
      </c>
    </row>
    <row r="22" spans="1:37" x14ac:dyDescent="0.3">
      <c r="A22" s="8" t="s">
        <v>24</v>
      </c>
      <c r="B22" s="9">
        <v>8.5</v>
      </c>
      <c r="C22" s="9">
        <v>19</v>
      </c>
      <c r="D22" s="9">
        <v>27</v>
      </c>
      <c r="E22" s="9">
        <v>11.9</v>
      </c>
      <c r="F22" s="10">
        <v>2.5790000000000002</v>
      </c>
      <c r="G22" s="10">
        <v>2.5950000000000002</v>
      </c>
      <c r="H22" s="10">
        <v>1.5109999999999999</v>
      </c>
      <c r="I22" s="10">
        <v>9.2999999999999999E-2</v>
      </c>
      <c r="J22" s="10">
        <v>3.125</v>
      </c>
      <c r="K22" s="10">
        <v>1</v>
      </c>
      <c r="L22" s="10">
        <v>0.375</v>
      </c>
      <c r="M22" s="10">
        <v>0.25</v>
      </c>
      <c r="N22" s="10">
        <v>0.50600000000000001</v>
      </c>
      <c r="O22" s="10" t="s">
        <v>39</v>
      </c>
      <c r="P22" s="10">
        <v>0.377</v>
      </c>
      <c r="Q22" s="10">
        <v>0.253</v>
      </c>
      <c r="R22" s="12">
        <v>84</v>
      </c>
      <c r="S22" s="12">
        <v>92</v>
      </c>
      <c r="T22" s="12">
        <v>59</v>
      </c>
      <c r="U22" s="12">
        <v>77</v>
      </c>
      <c r="V22" s="9">
        <v>42</v>
      </c>
      <c r="W22" s="9">
        <v>58</v>
      </c>
      <c r="X22" s="9">
        <v>39</v>
      </c>
      <c r="Y22" s="9">
        <v>0</v>
      </c>
      <c r="Z22" s="20">
        <v>10.699999809265137</v>
      </c>
      <c r="AA22" s="20">
        <v>17.799999237060547</v>
      </c>
      <c r="AB22" s="20">
        <v>27.5</v>
      </c>
      <c r="AC22" s="20">
        <v>12.399999618530273</v>
      </c>
      <c r="AD22" s="20">
        <v>97.7</v>
      </c>
      <c r="AE22" s="20">
        <v>61.299999237060547</v>
      </c>
      <c r="AF22" s="20">
        <v>49.700000762939453</v>
      </c>
      <c r="AG22" s="20">
        <v>13.699999809265137</v>
      </c>
      <c r="AH22" s="21">
        <v>0.79142857142857148</v>
      </c>
      <c r="AI22" s="21">
        <v>0.58142857142857152</v>
      </c>
      <c r="AJ22" s="21">
        <v>0.19999999999999998</v>
      </c>
      <c r="AK22" s="21">
        <v>0.16714285714285712</v>
      </c>
    </row>
    <row r="23" spans="1:37" x14ac:dyDescent="0.3">
      <c r="A23" s="8" t="s">
        <v>25</v>
      </c>
      <c r="B23" s="9">
        <v>8.8000000000000007</v>
      </c>
      <c r="C23" s="9">
        <v>18.8</v>
      </c>
      <c r="D23" s="9">
        <v>27</v>
      </c>
      <c r="E23" s="9">
        <v>11.8</v>
      </c>
      <c r="F23" s="10">
        <v>2.496</v>
      </c>
      <c r="G23" s="10">
        <v>2.5950000000000002</v>
      </c>
      <c r="H23" s="10">
        <v>1.5109999999999999</v>
      </c>
      <c r="I23" s="10">
        <v>9.2999999999999999E-2</v>
      </c>
      <c r="J23" s="10">
        <v>3.125</v>
      </c>
      <c r="K23" s="10">
        <v>1</v>
      </c>
      <c r="L23" s="10">
        <v>0.375</v>
      </c>
      <c r="M23" s="10">
        <v>0.25</v>
      </c>
      <c r="N23" s="10">
        <v>0.50800000000000001</v>
      </c>
      <c r="O23" s="10" t="s">
        <v>39</v>
      </c>
      <c r="P23" s="10">
        <v>0.38</v>
      </c>
      <c r="Q23" s="10">
        <v>0.26900000000000002</v>
      </c>
      <c r="R23" s="12">
        <v>84</v>
      </c>
      <c r="S23" s="12">
        <v>92</v>
      </c>
      <c r="T23" s="12">
        <v>59</v>
      </c>
      <c r="U23" s="12">
        <v>77</v>
      </c>
      <c r="V23" s="9">
        <v>42</v>
      </c>
      <c r="W23" s="9">
        <v>58</v>
      </c>
      <c r="X23" s="9">
        <v>39</v>
      </c>
      <c r="Y23" s="9">
        <v>0</v>
      </c>
      <c r="Z23" s="20">
        <v>10.699999809265137</v>
      </c>
      <c r="AA23" s="20">
        <v>17.600000381469727</v>
      </c>
      <c r="AB23" s="20">
        <v>27.399999618530273</v>
      </c>
      <c r="AC23" s="20">
        <v>12.300000190734863</v>
      </c>
      <c r="AD23" s="20">
        <v>98</v>
      </c>
      <c r="AE23" s="20">
        <v>61.700000762939453</v>
      </c>
      <c r="AF23" s="20">
        <v>49.299999237060547</v>
      </c>
      <c r="AG23" s="20">
        <v>13.600000381469727</v>
      </c>
      <c r="AH23" s="21">
        <v>0.79142857142857148</v>
      </c>
      <c r="AI23" s="21">
        <v>0.58142857142857152</v>
      </c>
      <c r="AJ23" s="21">
        <v>0.21857142857142858</v>
      </c>
      <c r="AK23" s="21">
        <v>0.16714285714285712</v>
      </c>
    </row>
    <row r="24" spans="1:37" x14ac:dyDescent="0.3">
      <c r="A24" s="8" t="s">
        <v>26</v>
      </c>
      <c r="B24" s="9">
        <v>9</v>
      </c>
      <c r="C24" s="9">
        <v>18.899999999999999</v>
      </c>
      <c r="D24" s="9">
        <v>26.8</v>
      </c>
      <c r="E24" s="9">
        <v>11.4</v>
      </c>
      <c r="F24" s="10">
        <v>2.496</v>
      </c>
      <c r="G24" s="10">
        <v>2.5950000000000002</v>
      </c>
      <c r="H24" s="10">
        <v>1.5109999999999999</v>
      </c>
      <c r="I24" s="10">
        <v>9.2999999999999999E-2</v>
      </c>
      <c r="J24" s="10">
        <v>3.125</v>
      </c>
      <c r="K24" s="10">
        <v>1</v>
      </c>
      <c r="L24" s="10">
        <v>0.375</v>
      </c>
      <c r="M24" s="10">
        <v>0.25</v>
      </c>
      <c r="N24" s="10">
        <v>0.502</v>
      </c>
      <c r="O24" s="10" t="s">
        <v>39</v>
      </c>
      <c r="P24" s="10">
        <v>0.379</v>
      </c>
      <c r="Q24" s="10">
        <v>0.28399999999999997</v>
      </c>
      <c r="R24" s="12">
        <v>84</v>
      </c>
      <c r="S24" s="12">
        <v>90</v>
      </c>
      <c r="T24" s="12">
        <v>59</v>
      </c>
      <c r="U24" s="12">
        <v>76</v>
      </c>
      <c r="V24" s="9">
        <v>42</v>
      </c>
      <c r="W24" s="9">
        <v>58</v>
      </c>
      <c r="X24" s="9">
        <v>39</v>
      </c>
      <c r="Y24" s="9">
        <v>0</v>
      </c>
      <c r="Z24" s="20">
        <v>10.800000190734863</v>
      </c>
      <c r="AA24" s="20">
        <v>17.299999237060547</v>
      </c>
      <c r="AB24" s="20">
        <v>26.600000381469727</v>
      </c>
      <c r="AC24" s="20">
        <v>11.899999618530273</v>
      </c>
      <c r="AD24" s="20">
        <v>98</v>
      </c>
      <c r="AE24" s="20">
        <v>59.799999237060547</v>
      </c>
      <c r="AF24" s="20">
        <v>47.900001525878906</v>
      </c>
      <c r="AG24" s="20">
        <v>13.100000381469727</v>
      </c>
      <c r="AH24" s="21">
        <v>0.79142857142857148</v>
      </c>
      <c r="AI24" s="21">
        <v>0.58142857142857152</v>
      </c>
      <c r="AJ24" s="21">
        <v>0.21857142857142858</v>
      </c>
      <c r="AK24" s="21">
        <v>0.16714285714285712</v>
      </c>
    </row>
    <row r="25" spans="1:37" x14ac:dyDescent="0.3">
      <c r="A25" s="8" t="s">
        <v>27</v>
      </c>
      <c r="B25" s="9">
        <v>9.1</v>
      </c>
      <c r="C25" s="9">
        <v>18.399999999999999</v>
      </c>
      <c r="D25" s="9">
        <v>26.5</v>
      </c>
      <c r="E25" s="9">
        <v>11.3</v>
      </c>
      <c r="F25" s="10">
        <v>2.496</v>
      </c>
      <c r="G25" s="10">
        <v>2.5950000000000002</v>
      </c>
      <c r="H25" s="10">
        <v>1.5109999999999999</v>
      </c>
      <c r="I25" s="10">
        <v>9.2999999999999999E-2</v>
      </c>
      <c r="J25" s="10">
        <v>3.125</v>
      </c>
      <c r="K25" s="10">
        <v>1</v>
      </c>
      <c r="L25" s="10">
        <v>0.375</v>
      </c>
      <c r="M25" s="10">
        <v>0.25</v>
      </c>
      <c r="N25" s="10">
        <v>0.5</v>
      </c>
      <c r="O25" s="10" t="s">
        <v>39</v>
      </c>
      <c r="P25" s="10">
        <v>0.38400000000000001</v>
      </c>
      <c r="Q25" s="10">
        <v>0.27900000000000003</v>
      </c>
      <c r="R25" s="12">
        <v>84</v>
      </c>
      <c r="S25" s="12">
        <v>90</v>
      </c>
      <c r="T25" s="12">
        <v>59</v>
      </c>
      <c r="U25" s="12">
        <v>74</v>
      </c>
      <c r="V25" s="9">
        <v>42</v>
      </c>
      <c r="W25" s="9">
        <v>58</v>
      </c>
      <c r="X25" s="9">
        <v>39</v>
      </c>
      <c r="Y25" s="9">
        <v>0</v>
      </c>
      <c r="Z25" s="20">
        <v>10.800000190734863</v>
      </c>
      <c r="AA25" s="20">
        <v>17</v>
      </c>
      <c r="AB25" s="20">
        <v>26</v>
      </c>
      <c r="AC25" s="20">
        <v>11.800000190734863</v>
      </c>
      <c r="AD25" s="20">
        <v>98</v>
      </c>
      <c r="AE25" s="20">
        <v>58.900001525878906</v>
      </c>
      <c r="AF25" s="20">
        <v>47.200000762939453</v>
      </c>
      <c r="AG25" s="20">
        <v>13</v>
      </c>
      <c r="AH25" s="21">
        <v>0.79142857142857148</v>
      </c>
      <c r="AI25" s="21">
        <v>0.58142857142857152</v>
      </c>
      <c r="AJ25" s="21">
        <v>0.21857142857142858</v>
      </c>
      <c r="AK25" s="21">
        <v>0.16714285714285712</v>
      </c>
    </row>
    <row r="26" spans="1:37" x14ac:dyDescent="0.3">
      <c r="A26" s="8" t="s">
        <v>28</v>
      </c>
      <c r="B26" s="9">
        <v>9.1</v>
      </c>
      <c r="C26" s="9">
        <v>18.3</v>
      </c>
      <c r="D26" s="9">
        <v>26.1</v>
      </c>
      <c r="E26" s="9">
        <v>10.8</v>
      </c>
      <c r="F26" s="10">
        <v>2.496</v>
      </c>
      <c r="G26" s="10">
        <v>2.5950000000000002</v>
      </c>
      <c r="H26" s="10">
        <v>1.5109999999999999</v>
      </c>
      <c r="I26" s="10">
        <v>9.2999999999999999E-2</v>
      </c>
      <c r="J26" s="10">
        <v>3.125</v>
      </c>
      <c r="K26" s="10">
        <v>1</v>
      </c>
      <c r="L26" s="10">
        <v>0.375</v>
      </c>
      <c r="M26" s="10">
        <v>0.25</v>
      </c>
      <c r="N26" s="10">
        <v>0.50800000000000001</v>
      </c>
      <c r="O26" s="10" t="s">
        <v>39</v>
      </c>
      <c r="P26" s="10">
        <v>0.39</v>
      </c>
      <c r="Q26" s="10">
        <v>0.27100000000000002</v>
      </c>
      <c r="R26" s="12">
        <v>84</v>
      </c>
      <c r="S26" s="12">
        <v>90</v>
      </c>
      <c r="T26" s="12">
        <v>58</v>
      </c>
      <c r="U26" s="12">
        <v>74</v>
      </c>
      <c r="V26" s="9">
        <v>42</v>
      </c>
      <c r="W26" s="9">
        <v>58</v>
      </c>
      <c r="X26" s="9">
        <v>39</v>
      </c>
      <c r="Y26" s="9">
        <v>0</v>
      </c>
      <c r="Z26" s="20">
        <v>10.800000190734863</v>
      </c>
      <c r="AA26" s="20">
        <v>16.799999237060547</v>
      </c>
      <c r="AB26" s="20">
        <v>26.100000381469727</v>
      </c>
      <c r="AC26" s="20">
        <v>11.300000190734863</v>
      </c>
      <c r="AD26" s="20">
        <v>98</v>
      </c>
      <c r="AE26" s="20">
        <v>58.299999237060547</v>
      </c>
      <c r="AF26" s="20">
        <v>45.200000762939453</v>
      </c>
      <c r="AG26" s="20">
        <v>12.5</v>
      </c>
      <c r="AH26" s="21">
        <v>0.79142857142857148</v>
      </c>
      <c r="AI26" s="21">
        <v>0.58142857142857152</v>
      </c>
      <c r="AJ26" s="21">
        <v>0.21857142857142858</v>
      </c>
      <c r="AK26" s="21">
        <v>0.16714285714285712</v>
      </c>
    </row>
    <row r="27" spans="1:37" x14ac:dyDescent="0.3">
      <c r="A27" s="8" t="s">
        <v>29</v>
      </c>
      <c r="B27" s="9">
        <v>9</v>
      </c>
      <c r="C27" s="9">
        <v>18</v>
      </c>
      <c r="D27" s="9">
        <v>25.4</v>
      </c>
      <c r="E27" s="9">
        <v>10.8</v>
      </c>
      <c r="F27" s="10">
        <v>2.496</v>
      </c>
      <c r="G27" s="10">
        <v>2.5950000000000002</v>
      </c>
      <c r="H27" s="10">
        <v>1.345</v>
      </c>
      <c r="I27" s="10">
        <v>9.2999999999999999E-2</v>
      </c>
      <c r="J27" s="10">
        <v>3.125</v>
      </c>
      <c r="K27" s="10">
        <v>1.125</v>
      </c>
      <c r="L27" s="10">
        <v>0.375</v>
      </c>
      <c r="M27" s="10">
        <v>0.25</v>
      </c>
      <c r="N27" s="10">
        <v>0.50600000000000001</v>
      </c>
      <c r="O27" s="10" t="s">
        <v>39</v>
      </c>
      <c r="P27" s="10">
        <v>0.38900000000000001</v>
      </c>
      <c r="Q27" s="10">
        <v>0.26700000000000002</v>
      </c>
      <c r="R27" s="12">
        <v>84</v>
      </c>
      <c r="S27" s="12">
        <v>90</v>
      </c>
      <c r="T27" s="12">
        <v>58</v>
      </c>
      <c r="U27" s="12">
        <v>74</v>
      </c>
      <c r="V27" s="9">
        <v>42</v>
      </c>
      <c r="W27" s="9">
        <v>58</v>
      </c>
      <c r="X27" s="9">
        <v>39</v>
      </c>
      <c r="Y27" s="9">
        <v>0</v>
      </c>
      <c r="Z27" s="20">
        <v>11</v>
      </c>
      <c r="AA27" s="20">
        <v>16.600000381469727</v>
      </c>
      <c r="AB27" s="20">
        <v>25.600000381469727</v>
      </c>
      <c r="AC27" s="20">
        <v>11.300000190734863</v>
      </c>
      <c r="AD27" s="20">
        <v>98</v>
      </c>
      <c r="AE27" s="20">
        <v>57.599998474121094</v>
      </c>
      <c r="AF27" s="20">
        <v>44.700000762939453</v>
      </c>
      <c r="AG27" s="20">
        <v>12.399999618530273</v>
      </c>
      <c r="AH27" s="21">
        <v>0.79142857142857148</v>
      </c>
      <c r="AI27" s="21">
        <v>0.58142857142857152</v>
      </c>
      <c r="AJ27" s="21">
        <v>0.21857142857142858</v>
      </c>
      <c r="AK27" s="21">
        <v>0.16714285714285712</v>
      </c>
    </row>
    <row r="28" spans="1:37" x14ac:dyDescent="0.3">
      <c r="A28" s="8" t="s">
        <v>30</v>
      </c>
      <c r="B28" s="9">
        <v>9</v>
      </c>
      <c r="C28" s="9">
        <v>17.7</v>
      </c>
      <c r="D28" s="9">
        <v>25</v>
      </c>
      <c r="E28" s="9">
        <v>10.7</v>
      </c>
      <c r="F28" s="10">
        <v>2.496</v>
      </c>
      <c r="G28" s="10">
        <v>2.5950000000000002</v>
      </c>
      <c r="H28" s="10">
        <v>1.345</v>
      </c>
      <c r="I28" s="10">
        <v>9.2999999999999999E-2</v>
      </c>
      <c r="J28" s="10">
        <v>3.125</v>
      </c>
      <c r="K28" s="10">
        <v>1.125</v>
      </c>
      <c r="L28" s="10">
        <v>0.375</v>
      </c>
      <c r="M28" s="10">
        <v>0.25</v>
      </c>
      <c r="N28" s="10">
        <v>0.505</v>
      </c>
      <c r="O28" s="10" t="s">
        <v>39</v>
      </c>
      <c r="P28" s="10">
        <v>0.39800000000000002</v>
      </c>
      <c r="Q28" s="10">
        <v>0.26600000000000001</v>
      </c>
      <c r="R28" s="12">
        <v>84</v>
      </c>
      <c r="S28" s="12">
        <v>90</v>
      </c>
      <c r="T28" s="12">
        <v>58</v>
      </c>
      <c r="U28" s="12">
        <v>74</v>
      </c>
      <c r="V28" s="9">
        <v>42</v>
      </c>
      <c r="W28" s="9">
        <v>58</v>
      </c>
      <c r="X28" s="9">
        <v>39</v>
      </c>
      <c r="Y28" s="9">
        <v>0</v>
      </c>
      <c r="Z28" s="20">
        <v>11</v>
      </c>
      <c r="AA28" s="20">
        <v>16.399999618530273</v>
      </c>
      <c r="AB28" s="20">
        <v>25</v>
      </c>
      <c r="AC28" s="20">
        <v>11.100000381469727</v>
      </c>
      <c r="AD28" s="20">
        <v>98</v>
      </c>
      <c r="AE28" s="20">
        <v>57.799999237060547</v>
      </c>
      <c r="AF28" s="20">
        <v>42.900001525878906</v>
      </c>
      <c r="AG28" s="20">
        <v>12.300000190734863</v>
      </c>
      <c r="AH28" s="21">
        <v>0.79142857142857148</v>
      </c>
      <c r="AI28" s="21">
        <v>0.58142857142857152</v>
      </c>
      <c r="AJ28" s="21">
        <v>0.21857142857142858</v>
      </c>
      <c r="AK28" s="21">
        <v>0.16714285714285712</v>
      </c>
    </row>
    <row r="29" spans="1:37" x14ac:dyDescent="0.3">
      <c r="A29" s="8" t="s">
        <v>31</v>
      </c>
      <c r="B29" s="9">
        <v>9</v>
      </c>
      <c r="C29" s="9">
        <v>17.600000000000001</v>
      </c>
      <c r="D29" s="9">
        <v>24.2</v>
      </c>
      <c r="E29" s="9">
        <v>10.6</v>
      </c>
      <c r="F29" s="10">
        <v>2.496</v>
      </c>
      <c r="G29" s="10">
        <v>2.5950000000000002</v>
      </c>
      <c r="H29" s="10">
        <v>1.345</v>
      </c>
      <c r="I29" s="10">
        <v>9.2999999999999999E-2</v>
      </c>
      <c r="J29" s="10">
        <v>3.125</v>
      </c>
      <c r="K29" s="10">
        <v>1.125</v>
      </c>
      <c r="L29" s="10">
        <v>0.375</v>
      </c>
      <c r="M29" s="10">
        <v>0.25</v>
      </c>
      <c r="N29" s="10">
        <v>0.503</v>
      </c>
      <c r="O29" s="10">
        <v>0.42499999999999999</v>
      </c>
      <c r="P29" s="10">
        <v>0.40500000000000003</v>
      </c>
      <c r="Q29" s="10">
        <v>0.251</v>
      </c>
      <c r="R29" s="12">
        <v>85</v>
      </c>
      <c r="S29" s="12">
        <v>90</v>
      </c>
      <c r="T29" s="12">
        <v>59</v>
      </c>
      <c r="U29" s="12">
        <v>73</v>
      </c>
      <c r="V29" s="9">
        <v>42</v>
      </c>
      <c r="W29" s="9">
        <v>58</v>
      </c>
      <c r="X29" s="9">
        <v>39</v>
      </c>
      <c r="Y29" s="9">
        <v>0</v>
      </c>
      <c r="Z29" s="20">
        <v>11</v>
      </c>
      <c r="AA29" s="20">
        <v>16.200000762939453</v>
      </c>
      <c r="AB29" s="20">
        <v>24.700000762939453</v>
      </c>
      <c r="AC29" s="20">
        <v>11.100000381469727</v>
      </c>
      <c r="AD29" s="20">
        <v>98</v>
      </c>
      <c r="AE29" s="20">
        <v>56.799999237060547</v>
      </c>
      <c r="AF29" s="20">
        <v>41.599998474121094</v>
      </c>
      <c r="AG29" s="20">
        <v>12.300000190734863</v>
      </c>
      <c r="AH29" s="21">
        <v>0.79142857142857148</v>
      </c>
      <c r="AI29" s="21">
        <v>0.58142857142857152</v>
      </c>
      <c r="AJ29" s="21">
        <v>0.21857142857142858</v>
      </c>
      <c r="AK29" s="21">
        <v>0.16714285714285712</v>
      </c>
    </row>
    <row r="30" spans="1:37" x14ac:dyDescent="0.3">
      <c r="A30" s="8" t="s">
        <v>32</v>
      </c>
      <c r="B30" s="9">
        <v>9</v>
      </c>
      <c r="C30" s="9">
        <v>17</v>
      </c>
      <c r="D30" s="9">
        <v>23.7</v>
      </c>
      <c r="E30" s="9">
        <v>10.3</v>
      </c>
      <c r="F30" s="10">
        <v>2.496</v>
      </c>
      <c r="G30" s="10">
        <v>2.5950000000000002</v>
      </c>
      <c r="H30" s="10">
        <v>1.345</v>
      </c>
      <c r="I30" s="10">
        <v>9.2999999999999999E-2</v>
      </c>
      <c r="J30" s="10">
        <v>3</v>
      </c>
      <c r="K30" s="10">
        <v>1.125</v>
      </c>
      <c r="L30" s="10">
        <v>0.375</v>
      </c>
      <c r="M30" s="10">
        <v>0.25</v>
      </c>
      <c r="N30" s="10">
        <v>0.5</v>
      </c>
      <c r="O30" s="10">
        <v>0.41799999999999998</v>
      </c>
      <c r="P30" s="10">
        <v>0.437</v>
      </c>
      <c r="Q30" s="10">
        <v>0.248</v>
      </c>
      <c r="R30" s="12">
        <v>85</v>
      </c>
      <c r="S30" s="12">
        <v>90</v>
      </c>
      <c r="T30" s="12">
        <v>58</v>
      </c>
      <c r="U30" s="12">
        <v>73</v>
      </c>
      <c r="V30" s="9">
        <v>42</v>
      </c>
      <c r="W30" s="9">
        <v>58</v>
      </c>
      <c r="X30" s="9">
        <v>39</v>
      </c>
      <c r="Y30" s="9">
        <v>0</v>
      </c>
      <c r="Z30" s="20">
        <v>10.800000190734863</v>
      </c>
      <c r="AA30" s="20">
        <v>15.899999618530273</v>
      </c>
      <c r="AB30" s="20">
        <v>23.5</v>
      </c>
      <c r="AC30" s="20">
        <v>10.699999809265137</v>
      </c>
      <c r="AD30" s="20">
        <v>98</v>
      </c>
      <c r="AE30" s="20">
        <v>56</v>
      </c>
      <c r="AF30" s="20">
        <v>41.700000762939453</v>
      </c>
      <c r="AG30" s="20">
        <v>12</v>
      </c>
      <c r="AH30" s="21">
        <v>0.67285714285714282</v>
      </c>
      <c r="AI30" s="21">
        <v>0.58142857142857152</v>
      </c>
      <c r="AJ30" s="21">
        <v>0.21857142857142858</v>
      </c>
      <c r="AK30" s="21">
        <v>0.16714285714285712</v>
      </c>
    </row>
    <row r="31" spans="1:37" x14ac:dyDescent="0.3">
      <c r="A31" s="8" t="s">
        <v>33</v>
      </c>
      <c r="B31" s="9">
        <v>8.9</v>
      </c>
      <c r="C31" s="9">
        <v>16.7</v>
      </c>
      <c r="D31" s="9">
        <v>23.2</v>
      </c>
      <c r="E31" s="9">
        <v>10.3</v>
      </c>
      <c r="F31" s="10">
        <v>2.496</v>
      </c>
      <c r="G31" s="10">
        <v>2.5950000000000002</v>
      </c>
      <c r="H31" s="10">
        <v>1.345</v>
      </c>
      <c r="I31" s="10">
        <v>9.2999999999999999E-2</v>
      </c>
      <c r="J31" s="10">
        <v>3</v>
      </c>
      <c r="K31" s="10">
        <v>1.125</v>
      </c>
      <c r="L31" s="10">
        <v>0.375</v>
      </c>
      <c r="M31" s="10">
        <v>0.25</v>
      </c>
      <c r="N31" s="10">
        <v>0.498</v>
      </c>
      <c r="O31" s="10">
        <v>0.42699999999999999</v>
      </c>
      <c r="P31" s="10">
        <v>0.443</v>
      </c>
      <c r="Q31" s="10">
        <v>0.24199999999999999</v>
      </c>
      <c r="R31" s="12">
        <v>85</v>
      </c>
      <c r="S31" s="12">
        <v>90</v>
      </c>
      <c r="T31" s="12">
        <v>58</v>
      </c>
      <c r="U31" s="12">
        <v>73</v>
      </c>
      <c r="Z31" s="20">
        <v>10.6</v>
      </c>
      <c r="AA31" s="20">
        <v>15.600000381469727</v>
      </c>
      <c r="AB31" s="20">
        <v>23.299999237060547</v>
      </c>
      <c r="AC31" s="20">
        <v>10.699999809265137</v>
      </c>
      <c r="AD31" s="20">
        <v>98</v>
      </c>
      <c r="AE31" s="20">
        <v>55</v>
      </c>
      <c r="AF31" s="20">
        <v>39.599998474121094</v>
      </c>
      <c r="AG31" s="20">
        <v>11.899999618530273</v>
      </c>
      <c r="AH31" s="21">
        <v>0.67285714285714282</v>
      </c>
      <c r="AI31" s="21">
        <v>0.58142857142857152</v>
      </c>
      <c r="AJ31" s="21">
        <v>0.21857142857142858</v>
      </c>
      <c r="AK31" s="21">
        <v>0.16714285714285712</v>
      </c>
    </row>
    <row r="32" spans="1:37" x14ac:dyDescent="0.3">
      <c r="A32" s="8" t="s">
        <v>34</v>
      </c>
      <c r="B32" s="9">
        <v>8.8000000000000007</v>
      </c>
      <c r="C32" s="9">
        <v>16.5</v>
      </c>
      <c r="D32" s="9">
        <v>23.4</v>
      </c>
      <c r="E32" s="9">
        <v>10.1</v>
      </c>
      <c r="F32" s="10">
        <v>2.5590000000000002</v>
      </c>
      <c r="G32" s="10">
        <v>2.5950000000000002</v>
      </c>
      <c r="H32" s="10">
        <v>1.345</v>
      </c>
      <c r="I32" s="10">
        <v>9.2999999999999999E-2</v>
      </c>
      <c r="J32" s="10">
        <v>3</v>
      </c>
      <c r="K32" s="10">
        <v>1.375</v>
      </c>
      <c r="L32" s="10">
        <v>0.375</v>
      </c>
      <c r="M32" s="10">
        <v>0.25</v>
      </c>
      <c r="N32" s="10">
        <v>0.497</v>
      </c>
      <c r="O32" s="10">
        <v>0.42099999999999999</v>
      </c>
      <c r="P32" s="10">
        <v>0.44700000000000001</v>
      </c>
      <c r="Q32" s="10">
        <v>0.23200000000000001</v>
      </c>
      <c r="R32" s="12">
        <v>85</v>
      </c>
      <c r="S32" s="12">
        <v>90</v>
      </c>
      <c r="T32" s="12">
        <v>58</v>
      </c>
      <c r="U32" s="12">
        <v>72</v>
      </c>
      <c r="Z32" s="20">
        <v>10.4</v>
      </c>
      <c r="AA32" s="20">
        <v>15.399999618530273</v>
      </c>
      <c r="AB32" s="20">
        <v>23.399999618530273</v>
      </c>
      <c r="AC32" s="20">
        <v>10.5</v>
      </c>
      <c r="AD32" s="20">
        <v>98</v>
      </c>
      <c r="AE32" s="20">
        <v>54</v>
      </c>
      <c r="AF32" s="20">
        <v>39.200000762939453</v>
      </c>
      <c r="AG32" s="20">
        <v>11.699999809265137</v>
      </c>
      <c r="AH32" s="21">
        <v>0.67285714285714282</v>
      </c>
      <c r="AI32" s="21">
        <v>0.58142857142857152</v>
      </c>
      <c r="AJ32" s="21">
        <v>0.21857142857142858</v>
      </c>
      <c r="AK32" s="21">
        <v>0.16714285714285712</v>
      </c>
    </row>
    <row r="33" spans="1:37" x14ac:dyDescent="0.3">
      <c r="A33" s="8">
        <v>2019</v>
      </c>
      <c r="F33" s="10">
        <v>2.5590000000000002</v>
      </c>
      <c r="G33" s="10">
        <v>2.5950000000000002</v>
      </c>
      <c r="H33" s="10">
        <v>1.345</v>
      </c>
      <c r="I33" s="10">
        <v>9.2999999999999999E-2</v>
      </c>
      <c r="J33" s="10">
        <v>3</v>
      </c>
      <c r="K33" s="10">
        <v>1.375</v>
      </c>
      <c r="L33" s="10">
        <v>0.375</v>
      </c>
      <c r="M33" s="10">
        <v>0.25</v>
      </c>
      <c r="N33" s="10">
        <v>0.496</v>
      </c>
      <c r="O33" s="10">
        <v>0.42599999999999999</v>
      </c>
      <c r="P33" s="10">
        <v>0.45600000000000002</v>
      </c>
      <c r="Q33" s="10">
        <v>0.223</v>
      </c>
      <c r="R33" s="12">
        <v>85</v>
      </c>
      <c r="S33" s="12">
        <v>90</v>
      </c>
      <c r="T33" s="12">
        <v>58</v>
      </c>
      <c r="U33" s="12">
        <v>72</v>
      </c>
      <c r="Z33" s="20">
        <v>10.100000381469727</v>
      </c>
      <c r="AA33" s="20">
        <v>15.100000381469727</v>
      </c>
      <c r="AB33" s="20">
        <v>23.5</v>
      </c>
      <c r="AC33" s="20">
        <v>10.300000190734863</v>
      </c>
      <c r="AD33" s="20">
        <v>98</v>
      </c>
      <c r="AE33" s="20">
        <v>52</v>
      </c>
      <c r="AF33" s="20">
        <v>39.200000762939453</v>
      </c>
      <c r="AG33" s="20">
        <v>11.600000381469727</v>
      </c>
      <c r="AH33" s="21">
        <v>0.67285714285714282</v>
      </c>
      <c r="AI33" s="21">
        <v>0.58142857142857152</v>
      </c>
      <c r="AJ33" s="21">
        <v>0.21857142857142858</v>
      </c>
      <c r="AK33" s="21">
        <v>0.16714285714285712</v>
      </c>
    </row>
    <row r="34" spans="1:37" x14ac:dyDescent="0.3">
      <c r="A34" s="8"/>
      <c r="Z34" s="20"/>
      <c r="AA34" s="20"/>
      <c r="AB34" s="20"/>
      <c r="AC34" s="20"/>
      <c r="AD34" s="20"/>
      <c r="AE34" s="20"/>
      <c r="AF34" s="20"/>
      <c r="AG34" s="20"/>
      <c r="AH34" s="21"/>
      <c r="AI34" s="21"/>
      <c r="AJ34" s="21"/>
      <c r="AK34" s="21"/>
    </row>
    <row r="35" spans="1:37" x14ac:dyDescent="0.3">
      <c r="A35" s="8"/>
      <c r="Z35" s="20"/>
      <c r="AA35" s="20"/>
      <c r="AB35" s="20"/>
      <c r="AC35" s="20"/>
      <c r="AD35" s="20"/>
      <c r="AE35" s="20"/>
      <c r="AF35" s="20"/>
      <c r="AG35" s="20"/>
      <c r="AH35" s="21"/>
      <c r="AI35" s="21"/>
      <c r="AJ35" s="21"/>
      <c r="AK35" s="21"/>
    </row>
    <row r="36" spans="1:37" x14ac:dyDescent="0.3">
      <c r="A36" s="8"/>
      <c r="Z36" s="20"/>
      <c r="AA36" s="20"/>
      <c r="AB36" s="20"/>
      <c r="AC36" s="20"/>
      <c r="AD36" s="20"/>
      <c r="AE36" s="20"/>
      <c r="AF36" s="20"/>
      <c r="AG36" s="20"/>
      <c r="AH36" s="21"/>
      <c r="AI36" s="21"/>
      <c r="AJ36" s="21"/>
      <c r="AK36" s="21"/>
    </row>
    <row r="37" spans="1:37" x14ac:dyDescent="0.3">
      <c r="A37" s="8"/>
      <c r="Z37" s="20"/>
      <c r="AA37" s="20"/>
      <c r="AB37" s="20"/>
      <c r="AC37" s="20"/>
      <c r="AD37" s="20"/>
      <c r="AE37" s="20"/>
      <c r="AF37" s="20"/>
      <c r="AG37" s="20"/>
      <c r="AH37" s="22"/>
      <c r="AI37" s="22"/>
      <c r="AJ37" s="22"/>
      <c r="AK37" s="22"/>
    </row>
    <row r="38" spans="1:37" x14ac:dyDescent="0.3">
      <c r="A38" s="8"/>
    </row>
    <row r="39" spans="1:37" x14ac:dyDescent="0.3">
      <c r="A39" s="8"/>
    </row>
    <row r="40" spans="1:37" x14ac:dyDescent="0.3">
      <c r="A40" s="8"/>
    </row>
    <row r="41" spans="1:37" x14ac:dyDescent="0.3">
      <c r="A41" s="8"/>
    </row>
    <row r="42" spans="1:37" x14ac:dyDescent="0.3">
      <c r="A42" s="8"/>
    </row>
    <row r="43" spans="1:37" x14ac:dyDescent="0.3">
      <c r="A43" s="8"/>
    </row>
    <row r="44" spans="1:37" x14ac:dyDescent="0.3">
      <c r="A44" s="8"/>
    </row>
    <row r="45" spans="1:37" x14ac:dyDescent="0.3">
      <c r="A45" s="8"/>
    </row>
    <row r="46" spans="1:37" x14ac:dyDescent="0.3">
      <c r="A46" s="8"/>
    </row>
    <row r="47" spans="1:37" x14ac:dyDescent="0.3">
      <c r="A47" s="8"/>
    </row>
    <row r="48" spans="1:37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  <row r="70" spans="1:1" x14ac:dyDescent="0.3">
      <c r="A70" s="8"/>
    </row>
    <row r="71" spans="1:1" x14ac:dyDescent="0.3">
      <c r="A71" s="8"/>
    </row>
    <row r="72" spans="1:1" x14ac:dyDescent="0.3">
      <c r="A72" s="8"/>
    </row>
    <row r="73" spans="1:1" x14ac:dyDescent="0.3">
      <c r="A73" s="8"/>
    </row>
    <row r="74" spans="1:1" x14ac:dyDescent="0.3">
      <c r="A74" s="8"/>
    </row>
    <row r="75" spans="1:1" x14ac:dyDescent="0.3">
      <c r="A75" s="8"/>
    </row>
    <row r="76" spans="1:1" x14ac:dyDescent="0.3">
      <c r="A76" s="8"/>
    </row>
    <row r="77" spans="1:1" x14ac:dyDescent="0.3">
      <c r="A77" s="8"/>
    </row>
    <row r="78" spans="1:1" x14ac:dyDescent="0.3">
      <c r="A78" s="8"/>
    </row>
    <row r="79" spans="1:1" x14ac:dyDescent="0.3">
      <c r="A79" s="8"/>
    </row>
    <row r="80" spans="1:1" x14ac:dyDescent="0.3">
      <c r="A80" s="8"/>
    </row>
    <row r="81" spans="1:1" x14ac:dyDescent="0.3">
      <c r="A81" s="8"/>
    </row>
    <row r="82" spans="1:1" x14ac:dyDescent="0.3">
      <c r="A82" s="8"/>
    </row>
    <row r="83" spans="1:1" x14ac:dyDescent="0.3">
      <c r="A83" s="8"/>
    </row>
    <row r="84" spans="1:1" x14ac:dyDescent="0.3">
      <c r="A84" s="8"/>
    </row>
    <row r="85" spans="1:1" x14ac:dyDescent="0.3">
      <c r="A85" s="8"/>
    </row>
    <row r="86" spans="1:1" x14ac:dyDescent="0.3">
      <c r="A86" s="8"/>
    </row>
    <row r="87" spans="1:1" x14ac:dyDescent="0.3">
      <c r="A87" s="8"/>
    </row>
    <row r="88" spans="1:1" x14ac:dyDescent="0.3">
      <c r="A88" s="8"/>
    </row>
    <row r="89" spans="1:1" x14ac:dyDescent="0.3">
      <c r="A89" s="8"/>
    </row>
    <row r="90" spans="1:1" x14ac:dyDescent="0.3">
      <c r="A90" s="8"/>
    </row>
    <row r="91" spans="1:1" x14ac:dyDescent="0.3">
      <c r="A91" s="8"/>
    </row>
    <row r="92" spans="1:1" x14ac:dyDescent="0.3">
      <c r="A92" s="8"/>
    </row>
    <row r="93" spans="1:1" x14ac:dyDescent="0.3">
      <c r="A93" s="8"/>
    </row>
    <row r="94" spans="1:1" x14ac:dyDescent="0.3">
      <c r="A94" s="8"/>
    </row>
    <row r="95" spans="1:1" x14ac:dyDescent="0.3">
      <c r="A95" s="8"/>
    </row>
    <row r="96" spans="1:1" x14ac:dyDescent="0.3">
      <c r="A96" s="8"/>
    </row>
    <row r="97" spans="1:1" x14ac:dyDescent="0.3">
      <c r="A97" s="8"/>
    </row>
    <row r="98" spans="1:1" x14ac:dyDescent="0.3">
      <c r="A98" s="8"/>
    </row>
    <row r="99" spans="1:1" x14ac:dyDescent="0.3">
      <c r="A99" s="8"/>
    </row>
    <row r="100" spans="1:1" x14ac:dyDescent="0.3">
      <c r="A100" s="8"/>
    </row>
    <row r="101" spans="1:1" x14ac:dyDescent="0.3">
      <c r="A101" s="8"/>
    </row>
    <row r="102" spans="1:1" x14ac:dyDescent="0.3">
      <c r="A102" s="8"/>
    </row>
    <row r="103" spans="1:1" x14ac:dyDescent="0.3">
      <c r="A103" s="8"/>
    </row>
    <row r="104" spans="1:1" x14ac:dyDescent="0.3">
      <c r="A104" s="8"/>
    </row>
    <row r="105" spans="1:1" x14ac:dyDescent="0.3">
      <c r="A105" s="8"/>
    </row>
    <row r="106" spans="1:1" x14ac:dyDescent="0.3">
      <c r="A106" s="8"/>
    </row>
    <row r="107" spans="1:1" x14ac:dyDescent="0.3">
      <c r="A107" s="8"/>
    </row>
    <row r="108" spans="1:1" x14ac:dyDescent="0.3">
      <c r="A108" s="8"/>
    </row>
    <row r="109" spans="1:1" x14ac:dyDescent="0.3">
      <c r="A109" s="8"/>
    </row>
    <row r="110" spans="1:1" x14ac:dyDescent="0.3">
      <c r="A110" s="8"/>
    </row>
    <row r="111" spans="1:1" x14ac:dyDescent="0.3">
      <c r="A111" s="8"/>
    </row>
    <row r="112" spans="1:1" x14ac:dyDescent="0.3">
      <c r="A112" s="8"/>
    </row>
    <row r="113" spans="1:1" x14ac:dyDescent="0.3">
      <c r="A113" s="8"/>
    </row>
    <row r="114" spans="1:1" x14ac:dyDescent="0.3">
      <c r="A114" s="8"/>
    </row>
    <row r="115" spans="1:1" x14ac:dyDescent="0.3">
      <c r="A115" s="8"/>
    </row>
    <row r="116" spans="1:1" x14ac:dyDescent="0.3">
      <c r="A116" s="8"/>
    </row>
    <row r="117" spans="1:1" x14ac:dyDescent="0.3">
      <c r="A117" s="8"/>
    </row>
    <row r="118" spans="1:1" x14ac:dyDescent="0.3">
      <c r="A118" s="8"/>
    </row>
    <row r="119" spans="1:1" x14ac:dyDescent="0.3">
      <c r="A119" s="8"/>
    </row>
    <row r="120" spans="1:1" x14ac:dyDescent="0.3">
      <c r="A120" s="8"/>
    </row>
    <row r="121" spans="1:1" x14ac:dyDescent="0.3">
      <c r="A121" s="8"/>
    </row>
    <row r="122" spans="1:1" x14ac:dyDescent="0.3">
      <c r="A122" s="8"/>
    </row>
    <row r="123" spans="1:1" x14ac:dyDescent="0.3">
      <c r="A123" s="8"/>
    </row>
    <row r="124" spans="1:1" x14ac:dyDescent="0.3">
      <c r="A124" s="8"/>
    </row>
    <row r="125" spans="1:1" x14ac:dyDescent="0.3">
      <c r="A125" s="8"/>
    </row>
    <row r="126" spans="1:1" x14ac:dyDescent="0.3">
      <c r="A126" s="8"/>
    </row>
  </sheetData>
  <mergeCells count="9">
    <mergeCell ref="Z1:AC1"/>
    <mergeCell ref="AD1:AG1"/>
    <mergeCell ref="AH1:AK1"/>
    <mergeCell ref="V1:Y1"/>
    <mergeCell ref="B1:E1"/>
    <mergeCell ref="F1:I1"/>
    <mergeCell ref="J1:M1"/>
    <mergeCell ref="N1:Q1"/>
    <mergeCell ref="R1:U1"/>
  </mergeCells>
  <hyperlinks>
    <hyperlink ref="C2" r:id="rId1" display="http://stats.oecd.org/OECDStat_Metadata/ShowMetadata.ashx?Dataset=TUD&amp;Coords=[COU].[DEU]&amp;ShowOnWeb=true&amp;Lang=en" xr:uid="{00000000-0004-0000-0000-000000000000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5"/>
  <sheetViews>
    <sheetView workbookViewId="0">
      <selection activeCell="D1" sqref="D1"/>
    </sheetView>
  </sheetViews>
  <sheetFormatPr defaultRowHeight="13.8" x14ac:dyDescent="0.3"/>
  <cols>
    <col min="1" max="1" width="10.375" bestFit="1" customWidth="1"/>
    <col min="2" max="2" width="5.5" bestFit="1" customWidth="1"/>
    <col min="3" max="3" width="10.375" bestFit="1" customWidth="1"/>
    <col min="4" max="5" width="12.125" bestFit="1" customWidth="1"/>
  </cols>
  <sheetData>
    <row r="1" spans="1:7" x14ac:dyDescent="0.3">
      <c r="A1" t="s">
        <v>55</v>
      </c>
      <c r="B1" t="s">
        <v>56</v>
      </c>
      <c r="C1" s="16" t="s">
        <v>65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3">
      <c r="A2" t="s">
        <v>57</v>
      </c>
      <c r="B2">
        <v>1989</v>
      </c>
      <c r="C2">
        <v>0.23164891731501286</v>
      </c>
      <c r="D2">
        <v>9.4938133707388506</v>
      </c>
      <c r="E2">
        <v>16.536786416257499</v>
      </c>
      <c r="F2">
        <f>+D2*C2</f>
        <v>2.1992315885224474</v>
      </c>
      <c r="G2">
        <f>+E2*C2</f>
        <v>3.8307286691956612</v>
      </c>
    </row>
    <row r="3" spans="1:7" x14ac:dyDescent="0.3">
      <c r="A3" t="s">
        <v>57</v>
      </c>
      <c r="B3">
        <v>1990</v>
      </c>
      <c r="C3">
        <v>0.23382652544481461</v>
      </c>
      <c r="D3">
        <v>9.6408724279167206</v>
      </c>
      <c r="E3">
        <v>17.0519632875578</v>
      </c>
      <c r="F3">
        <f t="shared" ref="F3:F66" si="0">+D3*C3</f>
        <v>2.2542917020764808</v>
      </c>
      <c r="G3">
        <f t="shared" ref="G3:G66" si="1">+E3*C3</f>
        <v>3.9872013275421785</v>
      </c>
    </row>
    <row r="4" spans="1:7" x14ac:dyDescent="0.3">
      <c r="A4" t="s">
        <v>57</v>
      </c>
      <c r="B4">
        <v>1991</v>
      </c>
      <c r="C4">
        <v>0.23178422706529306</v>
      </c>
      <c r="D4">
        <v>9.7435188112551394</v>
      </c>
      <c r="E4">
        <v>17.2964748656339</v>
      </c>
      <c r="F4">
        <f t="shared" si="0"/>
        <v>2.2583939765629157</v>
      </c>
      <c r="G4">
        <f t="shared" si="1"/>
        <v>4.0090500576852222</v>
      </c>
    </row>
    <row r="5" spans="1:7" x14ac:dyDescent="0.3">
      <c r="A5" t="s">
        <v>57</v>
      </c>
      <c r="B5">
        <v>1992</v>
      </c>
      <c r="C5">
        <v>0.22080880112635093</v>
      </c>
      <c r="D5">
        <v>10.335120589754601</v>
      </c>
      <c r="E5">
        <v>18.731354937913199</v>
      </c>
      <c r="F5">
        <f t="shared" si="0"/>
        <v>2.2820855869199783</v>
      </c>
      <c r="G5">
        <f t="shared" si="1"/>
        <v>4.1360480273127669</v>
      </c>
    </row>
    <row r="6" spans="1:7" x14ac:dyDescent="0.3">
      <c r="A6" t="s">
        <v>57</v>
      </c>
      <c r="B6">
        <v>1993</v>
      </c>
      <c r="C6">
        <v>0.20706336179191376</v>
      </c>
      <c r="D6">
        <v>10.461708902241501</v>
      </c>
      <c r="E6">
        <v>19.3508421039278</v>
      </c>
      <c r="F6">
        <f t="shared" si="0"/>
        <v>2.1662366153865169</v>
      </c>
      <c r="G6">
        <f t="shared" si="1"/>
        <v>4.0068504195437997</v>
      </c>
    </row>
    <row r="7" spans="1:7" x14ac:dyDescent="0.3">
      <c r="A7" t="s">
        <v>57</v>
      </c>
      <c r="B7">
        <v>1994</v>
      </c>
      <c r="C7">
        <v>0.20423657926537336</v>
      </c>
      <c r="D7">
        <v>10.645220191557501</v>
      </c>
      <c r="E7">
        <v>19.4931361319987</v>
      </c>
      <c r="F7">
        <f t="shared" si="0"/>
        <v>2.1741433574503866</v>
      </c>
      <c r="G7">
        <f t="shared" si="1"/>
        <v>3.9812114427536658</v>
      </c>
    </row>
    <row r="8" spans="1:7" x14ac:dyDescent="0.3">
      <c r="A8" t="s">
        <v>57</v>
      </c>
      <c r="B8">
        <v>1995</v>
      </c>
      <c r="C8">
        <v>0.20074154161419663</v>
      </c>
      <c r="D8">
        <v>10.8281062161123</v>
      </c>
      <c r="E8">
        <v>19.765863312588401</v>
      </c>
      <c r="F8">
        <f t="shared" si="0"/>
        <v>2.1736507345846485</v>
      </c>
      <c r="G8">
        <f t="shared" si="1"/>
        <v>3.9678298727044869</v>
      </c>
    </row>
    <row r="9" spans="1:7" x14ac:dyDescent="0.3">
      <c r="A9" t="s">
        <v>57</v>
      </c>
      <c r="B9">
        <v>1996</v>
      </c>
      <c r="C9">
        <v>0.19860077661461109</v>
      </c>
      <c r="D9">
        <v>11.601079207562501</v>
      </c>
      <c r="E9">
        <v>20.6114973401796</v>
      </c>
      <c r="F9">
        <f t="shared" si="0"/>
        <v>2.3039833401895295</v>
      </c>
      <c r="G9">
        <f t="shared" si="1"/>
        <v>4.0934593789496594</v>
      </c>
    </row>
    <row r="10" spans="1:7" x14ac:dyDescent="0.3">
      <c r="A10" t="s">
        <v>57</v>
      </c>
      <c r="B10">
        <v>1997</v>
      </c>
      <c r="C10">
        <v>0.19519375749294957</v>
      </c>
      <c r="D10">
        <v>12.4331264712176</v>
      </c>
      <c r="E10">
        <v>21.2322958524542</v>
      </c>
      <c r="F10">
        <f t="shared" si="0"/>
        <v>2.4268686733020202</v>
      </c>
      <c r="G10">
        <f t="shared" si="1"/>
        <v>4.1444116076425042</v>
      </c>
    </row>
    <row r="11" spans="1:7" x14ac:dyDescent="0.3">
      <c r="A11" t="s">
        <v>57</v>
      </c>
      <c r="B11">
        <v>1998</v>
      </c>
      <c r="C11">
        <v>0.19901087069493659</v>
      </c>
      <c r="D11">
        <v>13.0083778740866</v>
      </c>
      <c r="E11">
        <v>21.173274061299001</v>
      </c>
      <c r="F11">
        <f t="shared" si="0"/>
        <v>2.5888086070507224</v>
      </c>
      <c r="G11">
        <f t="shared" si="1"/>
        <v>4.2137117064016305</v>
      </c>
    </row>
    <row r="12" spans="1:7" x14ac:dyDescent="0.3">
      <c r="A12" t="s">
        <v>57</v>
      </c>
      <c r="B12">
        <v>1999</v>
      </c>
      <c r="C12">
        <v>0.20809293947096075</v>
      </c>
      <c r="D12">
        <v>13.3433720475547</v>
      </c>
      <c r="E12">
        <v>21.066550501135399</v>
      </c>
      <c r="F12">
        <f t="shared" si="0"/>
        <v>2.77666151183031</v>
      </c>
      <c r="G12">
        <f t="shared" si="1"/>
        <v>4.3838004182947063</v>
      </c>
    </row>
    <row r="13" spans="1:7" x14ac:dyDescent="0.3">
      <c r="A13" t="s">
        <v>57</v>
      </c>
      <c r="B13">
        <v>2000</v>
      </c>
      <c r="C13">
        <v>0.21514353280900786</v>
      </c>
      <c r="D13">
        <v>13.293284041897699</v>
      </c>
      <c r="E13">
        <v>20.585461541363301</v>
      </c>
      <c r="F13">
        <f t="shared" si="0"/>
        <v>2.8599640914074782</v>
      </c>
      <c r="G13">
        <f t="shared" si="1"/>
        <v>4.4288289205128653</v>
      </c>
    </row>
    <row r="14" spans="1:7" x14ac:dyDescent="0.3">
      <c r="A14" t="s">
        <v>57</v>
      </c>
      <c r="B14">
        <v>2001</v>
      </c>
      <c r="C14">
        <v>0.21513392275177734</v>
      </c>
      <c r="D14">
        <v>14.2294640078086</v>
      </c>
      <c r="E14">
        <v>21.626742495897801</v>
      </c>
      <c r="F14">
        <f t="shared" si="0"/>
        <v>3.0612404106550914</v>
      </c>
      <c r="G14">
        <f t="shared" si="1"/>
        <v>4.6526459494850574</v>
      </c>
    </row>
    <row r="15" spans="1:7" x14ac:dyDescent="0.3">
      <c r="A15" t="s">
        <v>57</v>
      </c>
      <c r="B15">
        <v>2002</v>
      </c>
      <c r="C15">
        <v>0.20953389797399516</v>
      </c>
      <c r="D15">
        <v>13.5643094161777</v>
      </c>
      <c r="E15">
        <v>21.7908411080119</v>
      </c>
      <c r="F15">
        <f t="shared" si="0"/>
        <v>2.8421826252970801</v>
      </c>
      <c r="G15">
        <f t="shared" si="1"/>
        <v>4.5659198774937053</v>
      </c>
    </row>
    <row r="16" spans="1:7" x14ac:dyDescent="0.3">
      <c r="A16" t="s">
        <v>57</v>
      </c>
      <c r="B16">
        <v>2003</v>
      </c>
      <c r="C16">
        <v>0.21034840982103248</v>
      </c>
      <c r="D16">
        <v>12.952467580931099</v>
      </c>
      <c r="E16">
        <v>21.087846347607101</v>
      </c>
      <c r="F16">
        <f t="shared" si="0"/>
        <v>2.7245309589073319</v>
      </c>
      <c r="G16">
        <f t="shared" si="1"/>
        <v>4.4357949457694215</v>
      </c>
    </row>
    <row r="17" spans="1:7" x14ac:dyDescent="0.3">
      <c r="A17" t="s">
        <v>57</v>
      </c>
      <c r="B17">
        <v>2004</v>
      </c>
      <c r="C17">
        <v>0.21364609215509259</v>
      </c>
      <c r="D17">
        <v>12.5419920506954</v>
      </c>
      <c r="E17">
        <v>20.597324045410499</v>
      </c>
      <c r="F17">
        <f t="shared" si="0"/>
        <v>2.6795475894713081</v>
      </c>
      <c r="G17">
        <f t="shared" si="1"/>
        <v>4.4005377911540755</v>
      </c>
    </row>
    <row r="18" spans="1:7" x14ac:dyDescent="0.3">
      <c r="A18" t="s">
        <v>57</v>
      </c>
      <c r="B18">
        <v>2005</v>
      </c>
      <c r="C18">
        <v>0.21797435288127653</v>
      </c>
      <c r="D18">
        <v>12.605151173484501</v>
      </c>
      <c r="E18">
        <v>20.254233325193201</v>
      </c>
      <c r="F18">
        <f t="shared" si="0"/>
        <v>2.7475996700109477</v>
      </c>
      <c r="G18">
        <f t="shared" si="1"/>
        <v>4.4149034021653737</v>
      </c>
    </row>
    <row r="19" spans="1:7" x14ac:dyDescent="0.3">
      <c r="A19" t="s">
        <v>57</v>
      </c>
      <c r="B19">
        <v>2006</v>
      </c>
      <c r="C19">
        <v>0.22450708849116149</v>
      </c>
      <c r="D19">
        <v>12.4996686132126</v>
      </c>
      <c r="E19">
        <v>19.9733444518622</v>
      </c>
      <c r="F19">
        <f t="shared" si="0"/>
        <v>2.806264207456715</v>
      </c>
      <c r="G19">
        <f t="shared" si="1"/>
        <v>4.4841574103186765</v>
      </c>
    </row>
    <row r="20" spans="1:7" x14ac:dyDescent="0.3">
      <c r="A20" t="s">
        <v>57</v>
      </c>
      <c r="B20">
        <v>2007</v>
      </c>
      <c r="C20">
        <v>0.23182665778690231</v>
      </c>
      <c r="D20">
        <v>12.141297029944999</v>
      </c>
      <c r="E20">
        <v>19.4016784466037</v>
      </c>
      <c r="F20">
        <f t="shared" si="0"/>
        <v>2.8146763116501927</v>
      </c>
      <c r="G20">
        <f t="shared" si="1"/>
        <v>4.4978262697323146</v>
      </c>
    </row>
    <row r="21" spans="1:7" x14ac:dyDescent="0.3">
      <c r="A21" t="s">
        <v>57</v>
      </c>
      <c r="B21">
        <v>2008</v>
      </c>
      <c r="C21">
        <v>0.23596050948181149</v>
      </c>
      <c r="D21">
        <v>12.5277852817241</v>
      </c>
      <c r="E21">
        <v>19.819068626721101</v>
      </c>
      <c r="F21">
        <f t="shared" si="0"/>
        <v>2.9560625977543578</v>
      </c>
      <c r="G21">
        <f t="shared" si="1"/>
        <v>4.6765175306160973</v>
      </c>
    </row>
    <row r="22" spans="1:7" x14ac:dyDescent="0.3">
      <c r="A22" t="s">
        <v>57</v>
      </c>
      <c r="B22">
        <v>2009</v>
      </c>
      <c r="C22">
        <v>0.22067503867134536</v>
      </c>
      <c r="D22">
        <v>12.5959468314144</v>
      </c>
      <c r="E22">
        <v>21.287559674248801</v>
      </c>
      <c r="F22">
        <f t="shared" si="0"/>
        <v>2.7796110541245826</v>
      </c>
      <c r="G22">
        <f t="shared" si="1"/>
        <v>4.6976330543334264</v>
      </c>
    </row>
    <row r="23" spans="1:7" x14ac:dyDescent="0.3">
      <c r="A23" t="s">
        <v>57</v>
      </c>
      <c r="B23">
        <v>2010</v>
      </c>
      <c r="C23">
        <v>0.22105419317215153</v>
      </c>
      <c r="D23">
        <v>12.8780888164383</v>
      </c>
      <c r="E23">
        <v>21.545706207900398</v>
      </c>
      <c r="F23">
        <f t="shared" si="0"/>
        <v>2.8467555329170762</v>
      </c>
      <c r="G23">
        <f t="shared" si="1"/>
        <v>4.7627687021116394</v>
      </c>
    </row>
    <row r="24" spans="1:7" x14ac:dyDescent="0.3">
      <c r="A24" t="s">
        <v>57</v>
      </c>
      <c r="B24">
        <v>2011</v>
      </c>
      <c r="C24">
        <v>0.22423870558777415</v>
      </c>
      <c r="D24">
        <v>12.828717886499399</v>
      </c>
      <c r="E24">
        <v>21.575895971540401</v>
      </c>
      <c r="F24">
        <f t="shared" si="0"/>
        <v>2.8766950932193511</v>
      </c>
      <c r="G24">
        <f t="shared" si="1"/>
        <v>4.8381509845546899</v>
      </c>
    </row>
    <row r="25" spans="1:7" x14ac:dyDescent="0.3">
      <c r="A25" t="s">
        <v>57</v>
      </c>
      <c r="B25">
        <v>2012</v>
      </c>
      <c r="C25">
        <v>0.22458114779283414</v>
      </c>
      <c r="D25">
        <v>13.389937455500499</v>
      </c>
      <c r="E25">
        <v>22.0508797585194</v>
      </c>
      <c r="F25">
        <f t="shared" si="0"/>
        <v>3.0071275226305629</v>
      </c>
      <c r="G25">
        <f t="shared" si="1"/>
        <v>4.9522118860100601</v>
      </c>
    </row>
    <row r="26" spans="1:7" x14ac:dyDescent="0.3">
      <c r="A26" t="s">
        <v>57</v>
      </c>
      <c r="B26">
        <v>2013</v>
      </c>
      <c r="C26">
        <v>0.22041867789127653</v>
      </c>
      <c r="D26">
        <v>13.547961291539201</v>
      </c>
      <c r="E26">
        <v>22.760934968757201</v>
      </c>
      <c r="F26">
        <f t="shared" si="0"/>
        <v>2.9862237160032619</v>
      </c>
      <c r="G26">
        <f t="shared" si="1"/>
        <v>5.0169351933827855</v>
      </c>
    </row>
    <row r="27" spans="1:7" x14ac:dyDescent="0.3">
      <c r="A27" t="s">
        <v>57</v>
      </c>
      <c r="B27">
        <v>2014</v>
      </c>
      <c r="C27">
        <v>0.21819733779072684</v>
      </c>
      <c r="D27">
        <v>14.1065463158186</v>
      </c>
      <c r="E27">
        <v>23.1978817795951</v>
      </c>
      <c r="F27">
        <f t="shared" si="0"/>
        <v>3.0780108515332043</v>
      </c>
      <c r="G27">
        <f t="shared" si="1"/>
        <v>5.0617160466916591</v>
      </c>
    </row>
    <row r="28" spans="1:7" x14ac:dyDescent="0.3">
      <c r="A28" t="s">
        <v>57</v>
      </c>
      <c r="B28">
        <v>2015</v>
      </c>
      <c r="C28">
        <v>0.21499277677388312</v>
      </c>
      <c r="D28">
        <v>14.9894107018557</v>
      </c>
      <c r="E28">
        <v>23.946200864493001</v>
      </c>
      <c r="F28">
        <f t="shared" si="0"/>
        <v>3.2226150289961173</v>
      </c>
      <c r="G28">
        <f t="shared" si="1"/>
        <v>5.1482602170425107</v>
      </c>
    </row>
    <row r="29" spans="1:7" x14ac:dyDescent="0.3">
      <c r="A29" t="s">
        <v>57</v>
      </c>
      <c r="B29">
        <v>2016</v>
      </c>
      <c r="C29">
        <v>0.21815302523665894</v>
      </c>
      <c r="D29">
        <v>15.497289600354501</v>
      </c>
      <c r="E29">
        <v>24.256537992785901</v>
      </c>
      <c r="F29">
        <f t="shared" si="0"/>
        <v>3.3807806092859476</v>
      </c>
      <c r="G29">
        <f t="shared" si="1"/>
        <v>5.2916371448941995</v>
      </c>
    </row>
    <row r="30" spans="1:7" x14ac:dyDescent="0.3">
      <c r="A30" t="s">
        <v>57</v>
      </c>
      <c r="B30">
        <v>2017</v>
      </c>
      <c r="C30">
        <v>0.22495845022409008</v>
      </c>
      <c r="D30">
        <v>15.9052911854856</v>
      </c>
      <c r="E30">
        <v>24.207018793151502</v>
      </c>
      <c r="F30">
        <f t="shared" si="0"/>
        <v>3.5780296554497211</v>
      </c>
      <c r="G30">
        <f t="shared" si="1"/>
        <v>5.4455734322527851</v>
      </c>
    </row>
    <row r="31" spans="1:7" x14ac:dyDescent="0.3">
      <c r="A31" t="s">
        <v>57</v>
      </c>
      <c r="B31">
        <v>2018</v>
      </c>
      <c r="C31">
        <v>0.22906975800332843</v>
      </c>
      <c r="D31">
        <v>16.328625162270999</v>
      </c>
      <c r="E31">
        <v>24.594923459858499</v>
      </c>
      <c r="F31">
        <f t="shared" si="0"/>
        <v>3.7403942144484774</v>
      </c>
      <c r="G31">
        <f t="shared" si="1"/>
        <v>5.6339531650601717</v>
      </c>
    </row>
    <row r="32" spans="1:7" x14ac:dyDescent="0.3">
      <c r="A32" t="s">
        <v>57</v>
      </c>
      <c r="B32">
        <v>2019</v>
      </c>
      <c r="C32">
        <v>0.23625968164802794</v>
      </c>
      <c r="D32">
        <v>16.510643049954901</v>
      </c>
      <c r="E32">
        <v>24.4752633498343</v>
      </c>
      <c r="F32">
        <f t="shared" si="0"/>
        <v>3.9007992707865697</v>
      </c>
      <c r="G32">
        <f t="shared" si="1"/>
        <v>5.7825179272834974</v>
      </c>
    </row>
    <row r="33" spans="1:7" x14ac:dyDescent="0.3">
      <c r="A33" t="s">
        <v>58</v>
      </c>
      <c r="B33">
        <v>1989</v>
      </c>
      <c r="C33">
        <v>0.23611202077238216</v>
      </c>
      <c r="D33">
        <v>7.5172022562468834</v>
      </c>
      <c r="E33">
        <v>12.2266737316431</v>
      </c>
      <c r="F33">
        <f t="shared" si="0"/>
        <v>1.7749018152771623</v>
      </c>
      <c r="G33">
        <f t="shared" si="1"/>
        <v>2.886864642102855</v>
      </c>
    </row>
    <row r="34" spans="1:7" x14ac:dyDescent="0.3">
      <c r="A34" t="s">
        <v>58</v>
      </c>
      <c r="B34">
        <v>1990</v>
      </c>
      <c r="C34">
        <v>0.24422675097033403</v>
      </c>
      <c r="D34">
        <v>7.5172022562468834</v>
      </c>
      <c r="E34">
        <v>11.7830509211615</v>
      </c>
      <c r="F34">
        <f t="shared" si="0"/>
        <v>1.8359018834300407</v>
      </c>
      <c r="G34">
        <f t="shared" si="1"/>
        <v>2.8777362429932745</v>
      </c>
    </row>
    <row r="35" spans="1:7" x14ac:dyDescent="0.3">
      <c r="A35" t="s">
        <v>58</v>
      </c>
      <c r="B35">
        <v>1991</v>
      </c>
      <c r="C35">
        <v>0.24890969844601193</v>
      </c>
      <c r="D35">
        <v>7.5172022562468834</v>
      </c>
      <c r="E35">
        <v>11.191955837160901</v>
      </c>
      <c r="F35">
        <f t="shared" si="0"/>
        <v>1.8711045467600922</v>
      </c>
      <c r="G35">
        <f t="shared" si="1"/>
        <v>2.7857863524488029</v>
      </c>
    </row>
    <row r="36" spans="1:7" x14ac:dyDescent="0.3">
      <c r="A36" t="s">
        <v>58</v>
      </c>
      <c r="B36">
        <v>1992</v>
      </c>
      <c r="C36">
        <v>0.2520116797923691</v>
      </c>
      <c r="D36">
        <v>7.5172022562468834</v>
      </c>
      <c r="E36">
        <v>11.228169972886599</v>
      </c>
      <c r="F36">
        <f t="shared" si="0"/>
        <v>1.8944227679357641</v>
      </c>
      <c r="G36">
        <f t="shared" si="1"/>
        <v>2.8296299758613914</v>
      </c>
    </row>
    <row r="37" spans="1:7" x14ac:dyDescent="0.3">
      <c r="A37" t="s">
        <v>58</v>
      </c>
      <c r="B37">
        <v>1993</v>
      </c>
      <c r="C37">
        <v>0.24056222841007449</v>
      </c>
      <c r="D37">
        <v>7.5172022562468834</v>
      </c>
      <c r="E37">
        <v>11.385856533031999</v>
      </c>
      <c r="F37">
        <f t="shared" si="0"/>
        <v>1.80835492617199</v>
      </c>
      <c r="G37">
        <f t="shared" si="1"/>
        <v>2.7390070199435828</v>
      </c>
    </row>
    <row r="38" spans="1:7" x14ac:dyDescent="0.3">
      <c r="A38" t="s">
        <v>58</v>
      </c>
      <c r="B38">
        <v>1994</v>
      </c>
      <c r="C38">
        <v>0.24141400867805365</v>
      </c>
      <c r="D38">
        <v>7.5172022562468834</v>
      </c>
      <c r="E38">
        <v>11.021579020057599</v>
      </c>
      <c r="F38">
        <f t="shared" si="0"/>
        <v>1.8147579307242696</v>
      </c>
      <c r="G38">
        <f t="shared" si="1"/>
        <v>2.6607635731940391</v>
      </c>
    </row>
    <row r="39" spans="1:7" x14ac:dyDescent="0.3">
      <c r="A39" t="s">
        <v>58</v>
      </c>
      <c r="B39">
        <v>1995</v>
      </c>
      <c r="C39">
        <v>0.2353903970548932</v>
      </c>
      <c r="D39">
        <v>7.12644038988907</v>
      </c>
      <c r="E39">
        <v>11.356965556210801</v>
      </c>
      <c r="F39">
        <f t="shared" si="0"/>
        <v>1.677495632964016</v>
      </c>
      <c r="G39">
        <f t="shared" si="1"/>
        <v>2.6733206316152063</v>
      </c>
    </row>
    <row r="40" spans="1:7" x14ac:dyDescent="0.3">
      <c r="A40" t="s">
        <v>58</v>
      </c>
      <c r="B40">
        <v>1996</v>
      </c>
      <c r="C40">
        <v>0.23027303306563032</v>
      </c>
      <c r="D40">
        <v>7.65637077854272</v>
      </c>
      <c r="E40">
        <v>11.915008068854201</v>
      </c>
      <c r="F40">
        <f t="shared" si="0"/>
        <v>1.7630557214500935</v>
      </c>
      <c r="G40">
        <f t="shared" si="1"/>
        <v>2.7437050470165154</v>
      </c>
    </row>
    <row r="41" spans="1:7" x14ac:dyDescent="0.3">
      <c r="A41" t="s">
        <v>58</v>
      </c>
      <c r="B41">
        <v>1997</v>
      </c>
      <c r="C41">
        <v>0.22650638630649561</v>
      </c>
      <c r="D41">
        <v>7.7687956003088603</v>
      </c>
      <c r="E41">
        <v>12.1144586043182</v>
      </c>
      <c r="F41">
        <f t="shared" si="0"/>
        <v>1.7596818173797621</v>
      </c>
      <c r="G41">
        <f t="shared" si="1"/>
        <v>2.7440022405237476</v>
      </c>
    </row>
    <row r="42" spans="1:7" x14ac:dyDescent="0.3">
      <c r="A42" t="s">
        <v>58</v>
      </c>
      <c r="B42">
        <v>1998</v>
      </c>
      <c r="C42">
        <v>0.22798224806905099</v>
      </c>
      <c r="D42">
        <v>8.5658853962530408</v>
      </c>
      <c r="E42">
        <v>12.5599888514367</v>
      </c>
      <c r="F42">
        <f t="shared" si="0"/>
        <v>1.952869809339622</v>
      </c>
      <c r="G42">
        <f t="shared" si="1"/>
        <v>2.8634544940727564</v>
      </c>
    </row>
    <row r="43" spans="1:7" x14ac:dyDescent="0.3">
      <c r="A43" t="s">
        <v>58</v>
      </c>
      <c r="B43">
        <v>1999</v>
      </c>
      <c r="C43">
        <v>0.23038679659150113</v>
      </c>
      <c r="D43">
        <v>9.2468128065217101</v>
      </c>
      <c r="E43">
        <v>13.1580666713034</v>
      </c>
      <c r="F43">
        <f t="shared" si="0"/>
        <v>2.1303435811758051</v>
      </c>
      <c r="G43">
        <f t="shared" si="1"/>
        <v>3.0314448297389869</v>
      </c>
    </row>
    <row r="44" spans="1:7" x14ac:dyDescent="0.3">
      <c r="A44" t="s">
        <v>58</v>
      </c>
      <c r="B44">
        <v>2000</v>
      </c>
      <c r="C44">
        <v>0.23114328945068655</v>
      </c>
      <c r="D44">
        <v>9.9765744550791595</v>
      </c>
      <c r="E44">
        <v>13.2241508752785</v>
      </c>
      <c r="F44">
        <f t="shared" si="0"/>
        <v>2.3060182369966875</v>
      </c>
      <c r="G44">
        <f t="shared" si="1"/>
        <v>3.0566737335040481</v>
      </c>
    </row>
    <row r="45" spans="1:7" x14ac:dyDescent="0.3">
      <c r="A45" t="s">
        <v>58</v>
      </c>
      <c r="B45">
        <v>2001</v>
      </c>
      <c r="C45">
        <v>0.21778195101171041</v>
      </c>
      <c r="D45">
        <v>10.082639387919</v>
      </c>
      <c r="E45">
        <v>14.371010694509</v>
      </c>
      <c r="F45">
        <f t="shared" si="0"/>
        <v>2.1958168772485176</v>
      </c>
      <c r="G45">
        <f t="shared" si="1"/>
        <v>3.1297467470603255</v>
      </c>
    </row>
    <row r="46" spans="1:7" x14ac:dyDescent="0.3">
      <c r="A46" t="s">
        <v>58</v>
      </c>
      <c r="B46">
        <v>2002</v>
      </c>
      <c r="C46">
        <v>0.20121785877858833</v>
      </c>
      <c r="D46">
        <v>9.5945973443424304</v>
      </c>
      <c r="E46">
        <v>15.4220768209884</v>
      </c>
      <c r="F46">
        <f t="shared" si="0"/>
        <v>1.9306043334713139</v>
      </c>
      <c r="G46">
        <f t="shared" si="1"/>
        <v>3.1031972758381845</v>
      </c>
    </row>
    <row r="47" spans="1:7" x14ac:dyDescent="0.3">
      <c r="A47" t="s">
        <v>58</v>
      </c>
      <c r="B47">
        <v>2003</v>
      </c>
      <c r="C47">
        <v>0.19523325072200193</v>
      </c>
      <c r="D47">
        <v>8.6082469451469805</v>
      </c>
      <c r="E47">
        <v>15.619817866837099</v>
      </c>
      <c r="F47">
        <f t="shared" si="0"/>
        <v>1.6806160341187877</v>
      </c>
      <c r="G47">
        <f t="shared" si="1"/>
        <v>3.0495078178282129</v>
      </c>
    </row>
    <row r="48" spans="1:7" x14ac:dyDescent="0.3">
      <c r="A48" t="s">
        <v>58</v>
      </c>
      <c r="B48">
        <v>2004</v>
      </c>
      <c r="C48">
        <v>0.19091013560693187</v>
      </c>
      <c r="D48">
        <v>8.2474799624020108</v>
      </c>
      <c r="E48">
        <v>15.920571933934999</v>
      </c>
      <c r="F48">
        <f t="shared" si="0"/>
        <v>1.5745275180376213</v>
      </c>
      <c r="G48">
        <f t="shared" si="1"/>
        <v>3.0393985468474445</v>
      </c>
    </row>
    <row r="49" spans="1:7" x14ac:dyDescent="0.3">
      <c r="A49" t="s">
        <v>58</v>
      </c>
      <c r="B49">
        <v>2005</v>
      </c>
      <c r="C49">
        <v>0.19076698516111998</v>
      </c>
      <c r="D49">
        <v>8.7970238286135807</v>
      </c>
      <c r="E49">
        <v>15.953625605336599</v>
      </c>
      <c r="F49">
        <f t="shared" si="0"/>
        <v>1.6781817141751458</v>
      </c>
      <c r="G49">
        <f t="shared" si="1"/>
        <v>3.0434250591193108</v>
      </c>
    </row>
    <row r="50" spans="1:7" x14ac:dyDescent="0.3">
      <c r="A50" t="s">
        <v>58</v>
      </c>
      <c r="B50">
        <v>2006</v>
      </c>
      <c r="C50">
        <v>0.19802899687638098</v>
      </c>
      <c r="D50">
        <v>8.7289203180081092</v>
      </c>
      <c r="E50">
        <v>15.4756888940643</v>
      </c>
      <c r="F50">
        <f t="shared" si="0"/>
        <v>1.7285793343890064</v>
      </c>
      <c r="G50">
        <f t="shared" si="1"/>
        <v>3.0646351476625031</v>
      </c>
    </row>
    <row r="51" spans="1:7" x14ac:dyDescent="0.3">
      <c r="A51" t="s">
        <v>58</v>
      </c>
      <c r="B51">
        <v>2007</v>
      </c>
      <c r="C51">
        <v>0.20056530178323281</v>
      </c>
      <c r="D51">
        <v>8.2092782497511596</v>
      </c>
      <c r="E51">
        <v>15.317469974447601</v>
      </c>
      <c r="F51">
        <f t="shared" si="0"/>
        <v>1.6464963695838706</v>
      </c>
      <c r="G51">
        <f t="shared" si="1"/>
        <v>3.0721529879806906</v>
      </c>
    </row>
    <row r="52" spans="1:7" x14ac:dyDescent="0.3">
      <c r="A52" t="s">
        <v>58</v>
      </c>
      <c r="B52">
        <v>2008</v>
      </c>
      <c r="C52">
        <v>0.20302966046952758</v>
      </c>
      <c r="D52">
        <v>7.7856843058104896</v>
      </c>
      <c r="E52">
        <v>15.781808194378099</v>
      </c>
      <c r="F52">
        <f t="shared" si="0"/>
        <v>1.5807248411316333</v>
      </c>
      <c r="G52">
        <f t="shared" si="1"/>
        <v>3.2041751592997936</v>
      </c>
    </row>
    <row r="53" spans="1:7" x14ac:dyDescent="0.3">
      <c r="A53" t="s">
        <v>58</v>
      </c>
      <c r="B53">
        <v>2009</v>
      </c>
      <c r="C53">
        <v>0.19267539755453661</v>
      </c>
      <c r="D53">
        <v>7.5395983294852602</v>
      </c>
      <c r="E53">
        <v>17.6078874100231</v>
      </c>
      <c r="F53">
        <f t="shared" si="0"/>
        <v>1.4526951055350925</v>
      </c>
      <c r="G53">
        <f t="shared" si="1"/>
        <v>3.3926067068217205</v>
      </c>
    </row>
    <row r="54" spans="1:7" x14ac:dyDescent="0.3">
      <c r="A54" t="s">
        <v>58</v>
      </c>
      <c r="B54">
        <v>2010</v>
      </c>
      <c r="C54">
        <v>0.19542505078538064</v>
      </c>
      <c r="D54">
        <v>7.5618380199062898</v>
      </c>
      <c r="E54">
        <v>16.7246003176706</v>
      </c>
      <c r="F54">
        <f t="shared" si="0"/>
        <v>1.4777725790710088</v>
      </c>
      <c r="G54">
        <f t="shared" si="1"/>
        <v>3.2684058664459701</v>
      </c>
    </row>
    <row r="55" spans="1:7" x14ac:dyDescent="0.3">
      <c r="A55" t="s">
        <v>58</v>
      </c>
      <c r="B55">
        <v>2011</v>
      </c>
      <c r="C55">
        <v>0.2037084751849442</v>
      </c>
      <c r="D55">
        <v>7.2801033714172201</v>
      </c>
      <c r="E55">
        <v>16.5377865176116</v>
      </c>
      <c r="F55">
        <f t="shared" si="0"/>
        <v>1.4830187569801734</v>
      </c>
      <c r="G55">
        <f t="shared" si="1"/>
        <v>3.3688872744367875</v>
      </c>
    </row>
    <row r="56" spans="1:7" x14ac:dyDescent="0.3">
      <c r="A56" t="s">
        <v>58</v>
      </c>
      <c r="B56">
        <v>2012</v>
      </c>
      <c r="C56">
        <v>0.20321093077249852</v>
      </c>
      <c r="D56">
        <v>6.6258332930018602</v>
      </c>
      <c r="E56">
        <v>16.675001837322601</v>
      </c>
      <c r="F56">
        <f t="shared" si="0"/>
        <v>1.3464417506143169</v>
      </c>
      <c r="G56">
        <f t="shared" si="1"/>
        <v>3.3885426439954487</v>
      </c>
    </row>
    <row r="57" spans="1:7" x14ac:dyDescent="0.3">
      <c r="A57" t="s">
        <v>58</v>
      </c>
      <c r="B57">
        <v>2013</v>
      </c>
      <c r="C57">
        <v>0.19901470829936713</v>
      </c>
      <c r="D57">
        <v>6.5846291331545999</v>
      </c>
      <c r="E57">
        <v>16.915102770330702</v>
      </c>
      <c r="F57">
        <f t="shared" si="0"/>
        <v>1.3104380461942773</v>
      </c>
      <c r="G57">
        <f t="shared" si="1"/>
        <v>3.3663542436911813</v>
      </c>
    </row>
    <row r="58" spans="1:7" x14ac:dyDescent="0.3">
      <c r="A58" t="s">
        <v>58</v>
      </c>
      <c r="B58">
        <v>2014</v>
      </c>
      <c r="C58">
        <v>0.2004027422320874</v>
      </c>
      <c r="D58">
        <v>6.6492802536370803</v>
      </c>
      <c r="E58">
        <v>16.9991392021</v>
      </c>
      <c r="F58">
        <f t="shared" si="0"/>
        <v>1.3325339966985406</v>
      </c>
      <c r="G58">
        <f t="shared" si="1"/>
        <v>3.4066741116858181</v>
      </c>
    </row>
    <row r="59" spans="1:7" x14ac:dyDescent="0.3">
      <c r="A59" t="s">
        <v>58</v>
      </c>
      <c r="B59">
        <v>2015</v>
      </c>
      <c r="C59">
        <v>0.20019826962265647</v>
      </c>
      <c r="D59">
        <v>7.1220594352266904</v>
      </c>
      <c r="E59">
        <v>17.7105685366997</v>
      </c>
      <c r="F59">
        <f t="shared" si="0"/>
        <v>1.4258239750820974</v>
      </c>
      <c r="G59">
        <f t="shared" si="1"/>
        <v>3.545625175080743</v>
      </c>
    </row>
    <row r="60" spans="1:7" x14ac:dyDescent="0.3">
      <c r="A60" t="s">
        <v>58</v>
      </c>
      <c r="B60">
        <v>2016</v>
      </c>
      <c r="C60">
        <v>0.20298302260973433</v>
      </c>
      <c r="D60">
        <v>6.9049299150242298</v>
      </c>
      <c r="E60">
        <v>17.936536125312202</v>
      </c>
      <c r="F60">
        <f t="shared" si="0"/>
        <v>1.4015835450599943</v>
      </c>
      <c r="G60">
        <f t="shared" si="1"/>
        <v>3.6408123178645631</v>
      </c>
    </row>
    <row r="61" spans="1:7" x14ac:dyDescent="0.3">
      <c r="A61" t="s">
        <v>58</v>
      </c>
      <c r="B61">
        <v>2017</v>
      </c>
      <c r="C61">
        <v>0.20429251571244433</v>
      </c>
      <c r="D61">
        <v>6.9457103601540604</v>
      </c>
      <c r="E61">
        <v>18.032779500424201</v>
      </c>
      <c r="F61">
        <f t="shared" si="0"/>
        <v>1.4189566428858609</v>
      </c>
      <c r="G61">
        <f t="shared" si="1"/>
        <v>3.683961889429455</v>
      </c>
    </row>
    <row r="62" spans="1:7" x14ac:dyDescent="0.3">
      <c r="A62" t="s">
        <v>58</v>
      </c>
      <c r="B62">
        <v>2018</v>
      </c>
      <c r="C62">
        <v>0.21131298028302153</v>
      </c>
      <c r="D62">
        <v>6.8235171370441901</v>
      </c>
      <c r="E62">
        <v>18.115820447710501</v>
      </c>
      <c r="F62">
        <f t="shared" si="0"/>
        <v>1.4418977422410786</v>
      </c>
      <c r="G62">
        <f t="shared" si="1"/>
        <v>3.8281080090778072</v>
      </c>
    </row>
    <row r="63" spans="1:7" x14ac:dyDescent="0.3">
      <c r="A63" t="s">
        <v>58</v>
      </c>
      <c r="B63">
        <v>2019</v>
      </c>
      <c r="C63">
        <v>0.21686725329989387</v>
      </c>
      <c r="D63">
        <v>6.5233841275104103</v>
      </c>
      <c r="E63">
        <v>17.900736110034099</v>
      </c>
      <c r="F63">
        <f t="shared" si="0"/>
        <v>1.4147083979533073</v>
      </c>
      <c r="G63">
        <f t="shared" si="1"/>
        <v>3.882083472229322</v>
      </c>
    </row>
    <row r="64" spans="1:7" x14ac:dyDescent="0.3">
      <c r="A64" t="s">
        <v>59</v>
      </c>
      <c r="B64">
        <v>1989</v>
      </c>
      <c r="C64">
        <v>0.25422438622505228</v>
      </c>
      <c r="D64">
        <v>17.045414872831998</v>
      </c>
      <c r="E64">
        <v>17.4272099586411</v>
      </c>
      <c r="F64">
        <f t="shared" si="0"/>
        <v>4.3333601339970924</v>
      </c>
      <c r="G64">
        <f t="shared" si="1"/>
        <v>4.4304217553506522</v>
      </c>
    </row>
    <row r="65" spans="1:7" x14ac:dyDescent="0.3">
      <c r="A65" t="s">
        <v>59</v>
      </c>
      <c r="B65">
        <v>1990</v>
      </c>
      <c r="C65">
        <v>0.23502648246243221</v>
      </c>
      <c r="D65">
        <v>17.045414872831998</v>
      </c>
      <c r="E65">
        <v>23.3914034441027</v>
      </c>
      <c r="F65">
        <f t="shared" si="0"/>
        <v>4.006123899674531</v>
      </c>
      <c r="G65">
        <f t="shared" si="1"/>
        <v>5.49759927132708</v>
      </c>
    </row>
    <row r="66" spans="1:7" x14ac:dyDescent="0.3">
      <c r="A66" t="s">
        <v>59</v>
      </c>
      <c r="B66">
        <v>1991</v>
      </c>
      <c r="C66">
        <v>0.20677861952267795</v>
      </c>
      <c r="D66">
        <v>17.045414872831998</v>
      </c>
      <c r="E66">
        <v>26.9578187196005</v>
      </c>
      <c r="F66">
        <f t="shared" si="0"/>
        <v>3.5246273565955235</v>
      </c>
      <c r="G66">
        <f t="shared" si="1"/>
        <v>5.5743005401815973</v>
      </c>
    </row>
    <row r="67" spans="1:7" x14ac:dyDescent="0.3">
      <c r="A67" t="s">
        <v>59</v>
      </c>
      <c r="B67">
        <v>1992</v>
      </c>
      <c r="C67">
        <v>0.19307477362489797</v>
      </c>
      <c r="D67">
        <v>17.045414872831998</v>
      </c>
      <c r="E67">
        <v>27.200135409262199</v>
      </c>
      <c r="F67">
        <f t="shared" ref="F67:F125" si="2">+D67*C67</f>
        <v>3.2910396179145072</v>
      </c>
      <c r="G67">
        <f t="shared" ref="G67:G125" si="3">+E67*C67</f>
        <v>5.2516599867098703</v>
      </c>
    </row>
    <row r="68" spans="1:7" x14ac:dyDescent="0.3">
      <c r="A68" t="s">
        <v>59</v>
      </c>
      <c r="B68">
        <v>1993</v>
      </c>
      <c r="C68">
        <v>0.18443837961785225</v>
      </c>
      <c r="D68">
        <v>17.045414872831998</v>
      </c>
      <c r="E68">
        <v>26.8191785441329</v>
      </c>
      <c r="F68">
        <f t="shared" si="2"/>
        <v>3.1438286990591728</v>
      </c>
      <c r="G68">
        <f t="shared" si="3"/>
        <v>4.9464858333617423</v>
      </c>
    </row>
    <row r="69" spans="1:7" x14ac:dyDescent="0.3">
      <c r="A69" t="s">
        <v>59</v>
      </c>
      <c r="B69">
        <v>1994</v>
      </c>
      <c r="C69">
        <v>0.18869091540029467</v>
      </c>
      <c r="D69">
        <v>17.045414872831998</v>
      </c>
      <c r="E69">
        <v>25.878659228058201</v>
      </c>
      <c r="F69">
        <f t="shared" si="2"/>
        <v>3.2163149357324672</v>
      </c>
      <c r="G69">
        <f t="shared" si="3"/>
        <v>4.883067899074585</v>
      </c>
    </row>
    <row r="70" spans="1:7" x14ac:dyDescent="0.3">
      <c r="A70" t="s">
        <v>59</v>
      </c>
      <c r="B70">
        <v>1995</v>
      </c>
      <c r="C70">
        <v>0.18031925003196878</v>
      </c>
      <c r="D70">
        <v>16.869096696759399</v>
      </c>
      <c r="E70">
        <v>25.827114752387399</v>
      </c>
      <c r="F70">
        <f t="shared" si="2"/>
        <v>3.0418228650764165</v>
      </c>
      <c r="G70">
        <f t="shared" si="3"/>
        <v>4.6571259626400927</v>
      </c>
    </row>
    <row r="71" spans="1:7" x14ac:dyDescent="0.3">
      <c r="A71" t="s">
        <v>59</v>
      </c>
      <c r="B71">
        <v>1996</v>
      </c>
      <c r="C71">
        <v>0.18575719343645844</v>
      </c>
      <c r="D71">
        <v>16.901341592941399</v>
      </c>
      <c r="E71">
        <v>25.185870848686601</v>
      </c>
      <c r="F71">
        <f t="shared" si="2"/>
        <v>3.139545779615676</v>
      </c>
      <c r="G71">
        <f t="shared" si="3"/>
        <v>4.6784566831051366</v>
      </c>
    </row>
    <row r="72" spans="1:7" x14ac:dyDescent="0.3">
      <c r="A72" t="s">
        <v>59</v>
      </c>
      <c r="B72">
        <v>1997</v>
      </c>
      <c r="C72">
        <v>0.17109850293413623</v>
      </c>
      <c r="D72">
        <v>17.365806328795198</v>
      </c>
      <c r="E72">
        <v>19.518800316869601</v>
      </c>
      <c r="F72">
        <f t="shared" si="2"/>
        <v>2.9712634651010066</v>
      </c>
      <c r="G72">
        <f t="shared" si="3"/>
        <v>3.3396375132867324</v>
      </c>
    </row>
    <row r="73" spans="1:7" x14ac:dyDescent="0.3">
      <c r="A73" t="s">
        <v>59</v>
      </c>
      <c r="B73">
        <v>1998</v>
      </c>
      <c r="C73">
        <v>0.17607874478943047</v>
      </c>
      <c r="D73">
        <v>17.994920099775602</v>
      </c>
      <c r="E73">
        <v>19.983598528423499</v>
      </c>
      <c r="F73">
        <f t="shared" si="2"/>
        <v>3.168522943754581</v>
      </c>
      <c r="G73">
        <f t="shared" si="3"/>
        <v>3.5186869452607197</v>
      </c>
    </row>
    <row r="74" spans="1:7" x14ac:dyDescent="0.3">
      <c r="A74" t="s">
        <v>59</v>
      </c>
      <c r="B74">
        <v>1999</v>
      </c>
      <c r="C74">
        <v>0.17563995990770709</v>
      </c>
      <c r="D74">
        <v>17.967714733164701</v>
      </c>
      <c r="E74">
        <v>19.6153804032373</v>
      </c>
      <c r="F74">
        <f t="shared" si="2"/>
        <v>3.1558486953661662</v>
      </c>
      <c r="G74">
        <f t="shared" si="3"/>
        <v>3.4452446275990227</v>
      </c>
    </row>
    <row r="75" spans="1:7" x14ac:dyDescent="0.3">
      <c r="A75" t="s">
        <v>59</v>
      </c>
      <c r="B75">
        <v>2000</v>
      </c>
      <c r="C75">
        <v>0.17891595952070946</v>
      </c>
      <c r="D75">
        <v>19.618103369136101</v>
      </c>
      <c r="E75">
        <v>19.4222589430521</v>
      </c>
      <c r="F75">
        <f t="shared" si="2"/>
        <v>3.5099917882654483</v>
      </c>
      <c r="G75">
        <f t="shared" si="3"/>
        <v>3.4749520948558468</v>
      </c>
    </row>
    <row r="76" spans="1:7" x14ac:dyDescent="0.3">
      <c r="A76" t="s">
        <v>59</v>
      </c>
      <c r="B76">
        <v>2001</v>
      </c>
      <c r="C76">
        <v>0.17850971794559561</v>
      </c>
      <c r="D76">
        <v>17.872556111627802</v>
      </c>
      <c r="E76">
        <v>19.062452327875899</v>
      </c>
      <c r="F76">
        <f t="shared" si="2"/>
        <v>3.1904249504535098</v>
      </c>
      <c r="G76">
        <f t="shared" si="3"/>
        <v>3.4028329884004891</v>
      </c>
    </row>
    <row r="77" spans="1:7" x14ac:dyDescent="0.3">
      <c r="A77" t="s">
        <v>59</v>
      </c>
      <c r="B77">
        <v>2002</v>
      </c>
      <c r="C77">
        <v>0.17749612491423331</v>
      </c>
      <c r="D77">
        <v>16.925434164899599</v>
      </c>
      <c r="E77">
        <v>19.128871432163098</v>
      </c>
      <c r="F77">
        <f t="shared" si="2"/>
        <v>3.0041989767606512</v>
      </c>
      <c r="G77">
        <f t="shared" si="3"/>
        <v>3.3953005531915301</v>
      </c>
    </row>
    <row r="78" spans="1:7" x14ac:dyDescent="0.3">
      <c r="A78" t="s">
        <v>59</v>
      </c>
      <c r="B78">
        <v>2003</v>
      </c>
      <c r="C78">
        <v>0.17359583092022216</v>
      </c>
      <c r="D78">
        <v>15.7440993447028</v>
      </c>
      <c r="E78">
        <v>19.8450949011551</v>
      </c>
      <c r="F78">
        <f t="shared" si="2"/>
        <v>2.7331100078342079</v>
      </c>
      <c r="G78">
        <f t="shared" si="3"/>
        <v>3.4450257390566836</v>
      </c>
    </row>
    <row r="79" spans="1:7" x14ac:dyDescent="0.3">
      <c r="A79" t="s">
        <v>59</v>
      </c>
      <c r="B79">
        <v>2004</v>
      </c>
      <c r="C79">
        <v>0.17210402776932399</v>
      </c>
      <c r="D79">
        <v>14.8240275205081</v>
      </c>
      <c r="E79">
        <v>19.546617270882901</v>
      </c>
      <c r="F79">
        <f t="shared" si="2"/>
        <v>2.5512748440427488</v>
      </c>
      <c r="G79">
        <f t="shared" si="3"/>
        <v>3.3640515615843789</v>
      </c>
    </row>
    <row r="80" spans="1:7" x14ac:dyDescent="0.3">
      <c r="A80" t="s">
        <v>59</v>
      </c>
      <c r="B80">
        <v>2005</v>
      </c>
      <c r="C80">
        <v>0.1728423778613557</v>
      </c>
      <c r="D80">
        <v>13.9984882214174</v>
      </c>
      <c r="E80">
        <v>19.691331361929802</v>
      </c>
      <c r="F80">
        <f t="shared" si="2"/>
        <v>2.4195319906539634</v>
      </c>
      <c r="G80">
        <f t="shared" si="3"/>
        <v>3.4034965358518345</v>
      </c>
    </row>
    <row r="81" spans="1:7" x14ac:dyDescent="0.3">
      <c r="A81" t="s">
        <v>59</v>
      </c>
      <c r="B81">
        <v>2006</v>
      </c>
      <c r="C81">
        <v>0.17563382271321062</v>
      </c>
      <c r="D81">
        <v>13.8938786255168</v>
      </c>
      <c r="E81">
        <v>18.857333106214298</v>
      </c>
      <c r="F81">
        <f t="shared" si="2"/>
        <v>2.4402350153128842</v>
      </c>
      <c r="G81">
        <f t="shared" si="3"/>
        <v>3.3119854996207994</v>
      </c>
    </row>
    <row r="82" spans="1:7" x14ac:dyDescent="0.3">
      <c r="A82" t="s">
        <v>59</v>
      </c>
      <c r="B82">
        <v>2007</v>
      </c>
      <c r="C82">
        <v>0.17896946162698771</v>
      </c>
      <c r="D82">
        <v>13.26083656786</v>
      </c>
      <c r="E82">
        <v>18.8122962609594</v>
      </c>
      <c r="F82">
        <f t="shared" si="2"/>
        <v>2.3732847812733757</v>
      </c>
      <c r="G82">
        <f t="shared" si="3"/>
        <v>3.3668265337912975</v>
      </c>
    </row>
    <row r="83" spans="1:7" x14ac:dyDescent="0.3">
      <c r="A83" t="s">
        <v>59</v>
      </c>
      <c r="B83">
        <v>2008</v>
      </c>
      <c r="C83">
        <v>0.17469273433217045</v>
      </c>
      <c r="D83">
        <v>12.8965681189488</v>
      </c>
      <c r="E83">
        <v>20.273959774089398</v>
      </c>
      <c r="F83">
        <f t="shared" si="2"/>
        <v>2.2529367482002618</v>
      </c>
      <c r="G83">
        <f t="shared" si="3"/>
        <v>3.5417134686761096</v>
      </c>
    </row>
    <row r="84" spans="1:7" x14ac:dyDescent="0.3">
      <c r="A84" t="s">
        <v>59</v>
      </c>
      <c r="B84">
        <v>2009</v>
      </c>
      <c r="C84">
        <v>0.1606973915213758</v>
      </c>
      <c r="D84">
        <v>13.9542360212504</v>
      </c>
      <c r="E84">
        <v>22.8522516295481</v>
      </c>
      <c r="F84">
        <f t="shared" si="2"/>
        <v>2.2424093292885607</v>
      </c>
      <c r="G84">
        <f t="shared" si="3"/>
        <v>3.6722972272584893</v>
      </c>
    </row>
    <row r="85" spans="1:7" x14ac:dyDescent="0.3">
      <c r="A85" t="s">
        <v>59</v>
      </c>
      <c r="B85">
        <v>2010</v>
      </c>
      <c r="C85">
        <v>0.15977689032393602</v>
      </c>
      <c r="D85">
        <v>14.7517984770426</v>
      </c>
      <c r="E85">
        <v>23.708331060068701</v>
      </c>
      <c r="F85">
        <f t="shared" si="2"/>
        <v>2.3569964873472418</v>
      </c>
      <c r="G85">
        <f t="shared" si="3"/>
        <v>3.7880434115481627</v>
      </c>
    </row>
    <row r="86" spans="1:7" x14ac:dyDescent="0.3">
      <c r="A86" t="s">
        <v>59</v>
      </c>
      <c r="B86">
        <v>2011</v>
      </c>
      <c r="C86">
        <v>0.15595121134467807</v>
      </c>
      <c r="D86">
        <v>15.408592473571</v>
      </c>
      <c r="E86">
        <v>24.434436328944301</v>
      </c>
      <c r="F86">
        <f t="shared" si="2"/>
        <v>2.402988661369887</v>
      </c>
      <c r="G86">
        <f t="shared" si="3"/>
        <v>3.8105799440232726</v>
      </c>
    </row>
    <row r="87" spans="1:7" x14ac:dyDescent="0.3">
      <c r="A87" t="s">
        <v>59</v>
      </c>
      <c r="B87">
        <v>2012</v>
      </c>
      <c r="C87">
        <v>0.15713793334083725</v>
      </c>
      <c r="D87">
        <v>15.6470273324807</v>
      </c>
      <c r="E87">
        <v>24.215194955833802</v>
      </c>
      <c r="F87">
        <f t="shared" si="2"/>
        <v>2.4587415379536108</v>
      </c>
      <c r="G87">
        <f t="shared" si="3"/>
        <v>3.8051256908051903</v>
      </c>
    </row>
    <row r="88" spans="1:7" x14ac:dyDescent="0.3">
      <c r="A88" t="s">
        <v>59</v>
      </c>
      <c r="B88">
        <v>2013</v>
      </c>
      <c r="C88">
        <v>0.15956538552381722</v>
      </c>
      <c r="D88">
        <v>15.9078428611659</v>
      </c>
      <c r="E88">
        <v>24.197761194029901</v>
      </c>
      <c r="F88">
        <f t="shared" si="2"/>
        <v>2.5383410789942404</v>
      </c>
      <c r="G88">
        <f t="shared" si="3"/>
        <v>3.8611250937386448</v>
      </c>
    </row>
    <row r="89" spans="1:7" x14ac:dyDescent="0.3">
      <c r="A89" t="s">
        <v>59</v>
      </c>
      <c r="B89">
        <v>2014</v>
      </c>
      <c r="C89">
        <v>0.16628377343195738</v>
      </c>
      <c r="D89">
        <v>15.208465143904901</v>
      </c>
      <c r="E89">
        <v>22.807210092062999</v>
      </c>
      <c r="F89">
        <f t="shared" si="2"/>
        <v>2.5289209722369037</v>
      </c>
      <c r="G89">
        <f t="shared" si="3"/>
        <v>3.7924689555636557</v>
      </c>
    </row>
    <row r="90" spans="1:7" x14ac:dyDescent="0.3">
      <c r="A90" t="s">
        <v>59</v>
      </c>
      <c r="B90">
        <v>2015</v>
      </c>
      <c r="C90">
        <v>0.17232753405537585</v>
      </c>
      <c r="D90">
        <v>14.3316193430006</v>
      </c>
      <c r="E90">
        <v>21.868944732124799</v>
      </c>
      <c r="F90">
        <f t="shared" si="2"/>
        <v>2.4697326203996193</v>
      </c>
      <c r="G90">
        <f t="shared" si="3"/>
        <v>3.7686213180803687</v>
      </c>
    </row>
    <row r="91" spans="1:7" x14ac:dyDescent="0.3">
      <c r="A91" t="s">
        <v>59</v>
      </c>
      <c r="B91">
        <v>2016</v>
      </c>
      <c r="C91">
        <v>0.17707719214363798</v>
      </c>
      <c r="D91">
        <v>13.563578300086601</v>
      </c>
      <c r="E91">
        <v>21.556092837850802</v>
      </c>
      <c r="F91">
        <f t="shared" si="2"/>
        <v>2.4018003607997138</v>
      </c>
      <c r="G91">
        <f t="shared" si="3"/>
        <v>3.8170923933142049</v>
      </c>
    </row>
    <row r="92" spans="1:7" x14ac:dyDescent="0.3">
      <c r="A92" t="s">
        <v>59</v>
      </c>
      <c r="B92">
        <v>2017</v>
      </c>
      <c r="C92">
        <v>0.17997908890499861</v>
      </c>
      <c r="D92">
        <v>13.6931187941977</v>
      </c>
      <c r="E92">
        <v>21.079517528663899</v>
      </c>
      <c r="F92">
        <f t="shared" si="2"/>
        <v>2.4644750448476151</v>
      </c>
      <c r="G92">
        <f t="shared" si="3"/>
        <v>3.7938723593658765</v>
      </c>
    </row>
    <row r="93" spans="1:7" x14ac:dyDescent="0.3">
      <c r="A93" t="s">
        <v>59</v>
      </c>
      <c r="B93">
        <v>2018</v>
      </c>
      <c r="C93">
        <v>0.17800468034862221</v>
      </c>
      <c r="D93">
        <v>14.453021516122</v>
      </c>
      <c r="E93">
        <v>21.456056278180402</v>
      </c>
      <c r="F93">
        <f t="shared" si="2"/>
        <v>2.5727054750490557</v>
      </c>
      <c r="G93">
        <f t="shared" si="3"/>
        <v>3.8192784393395511</v>
      </c>
    </row>
    <row r="94" spans="1:7" x14ac:dyDescent="0.3">
      <c r="A94" t="s">
        <v>59</v>
      </c>
      <c r="B94">
        <v>2019</v>
      </c>
      <c r="C94">
        <v>0.18039959146067544</v>
      </c>
      <c r="D94">
        <v>14.2318572108043</v>
      </c>
      <c r="E94">
        <v>21.3550454352016</v>
      </c>
      <c r="F94">
        <f t="shared" si="2"/>
        <v>2.5674212265557634</v>
      </c>
      <c r="G94">
        <f t="shared" si="3"/>
        <v>3.8524414721345304</v>
      </c>
    </row>
    <row r="95" spans="1:7" x14ac:dyDescent="0.3">
      <c r="A95" t="s">
        <v>60</v>
      </c>
      <c r="B95">
        <v>1989</v>
      </c>
      <c r="C95">
        <v>0.22022926201525106</v>
      </c>
      <c r="D95">
        <v>11.8809665811093</v>
      </c>
      <c r="E95">
        <v>19.148031978983301</v>
      </c>
      <c r="F95">
        <f t="shared" si="2"/>
        <v>2.6165365021855616</v>
      </c>
      <c r="G95">
        <f t="shared" si="3"/>
        <v>4.21695695177592</v>
      </c>
    </row>
    <row r="96" spans="1:7" x14ac:dyDescent="0.3">
      <c r="A96" t="s">
        <v>60</v>
      </c>
      <c r="B96">
        <v>1990</v>
      </c>
      <c r="C96">
        <v>0.21285281723869154</v>
      </c>
      <c r="D96">
        <v>11.891304621862</v>
      </c>
      <c r="E96">
        <v>20.133588387674202</v>
      </c>
      <c r="F96">
        <f t="shared" si="2"/>
        <v>2.5310976894068005</v>
      </c>
      <c r="G96">
        <f t="shared" si="3"/>
        <v>4.2854910094406593</v>
      </c>
    </row>
    <row r="97" spans="1:7" x14ac:dyDescent="0.3">
      <c r="A97" t="s">
        <v>60</v>
      </c>
      <c r="B97">
        <v>1991</v>
      </c>
      <c r="C97">
        <v>0.20117019308949197</v>
      </c>
      <c r="D97">
        <v>12.3789182068271</v>
      </c>
      <c r="E97">
        <v>21.8388772650367</v>
      </c>
      <c r="F97">
        <f t="shared" si="2"/>
        <v>2.4902693659064354</v>
      </c>
      <c r="G97">
        <f t="shared" si="3"/>
        <v>4.3933311562651491</v>
      </c>
    </row>
    <row r="98" spans="1:7" x14ac:dyDescent="0.3">
      <c r="A98" t="s">
        <v>60</v>
      </c>
      <c r="B98">
        <v>1992</v>
      </c>
      <c r="C98">
        <v>0.19827165109970712</v>
      </c>
      <c r="D98">
        <v>12.829247615246301</v>
      </c>
      <c r="E98">
        <v>21.6023255022447</v>
      </c>
      <c r="F98">
        <f t="shared" si="2"/>
        <v>2.5436761070418643</v>
      </c>
      <c r="G98">
        <f t="shared" si="3"/>
        <v>4.2831287449233661</v>
      </c>
    </row>
    <row r="99" spans="1:7" x14ac:dyDescent="0.3">
      <c r="A99" t="s">
        <v>60</v>
      </c>
      <c r="B99">
        <v>1993</v>
      </c>
      <c r="C99">
        <v>0.20090153048184028</v>
      </c>
      <c r="D99">
        <v>12.992644577417</v>
      </c>
      <c r="E99">
        <v>20.923945583662</v>
      </c>
      <c r="F99">
        <f t="shared" si="2"/>
        <v>2.6102421806096583</v>
      </c>
      <c r="G99">
        <f t="shared" si="3"/>
        <v>4.2036526914764387</v>
      </c>
    </row>
    <row r="100" spans="1:7" x14ac:dyDescent="0.3">
      <c r="A100" t="s">
        <v>60</v>
      </c>
      <c r="B100">
        <v>1994</v>
      </c>
      <c r="C100">
        <v>0.20403799190804306</v>
      </c>
      <c r="D100">
        <v>13.080807843037</v>
      </c>
      <c r="E100">
        <v>20.0245078093422</v>
      </c>
      <c r="F100">
        <f t="shared" si="2"/>
        <v>2.6689817648282497</v>
      </c>
      <c r="G100">
        <f t="shared" si="3"/>
        <v>4.0857603623651091</v>
      </c>
    </row>
    <row r="101" spans="1:7" x14ac:dyDescent="0.3">
      <c r="A101" t="s">
        <v>60</v>
      </c>
      <c r="B101">
        <v>1995</v>
      </c>
      <c r="C101">
        <v>0.2086459908565059</v>
      </c>
      <c r="D101">
        <v>13.844202300748499</v>
      </c>
      <c r="E101">
        <v>20.131267005143702</v>
      </c>
      <c r="F101">
        <f t="shared" si="2"/>
        <v>2.8885373066575895</v>
      </c>
      <c r="G101">
        <f t="shared" si="3"/>
        <v>4.2003081514850917</v>
      </c>
    </row>
    <row r="102" spans="1:7" x14ac:dyDescent="0.3">
      <c r="A102" t="s">
        <v>60</v>
      </c>
      <c r="B102">
        <v>1996</v>
      </c>
      <c r="C102">
        <v>0.21320302108651398</v>
      </c>
      <c r="D102">
        <v>14.23826438781</v>
      </c>
      <c r="E102">
        <v>20.264476119762001</v>
      </c>
      <c r="F102">
        <f t="shared" si="2"/>
        <v>3.0356409825096167</v>
      </c>
      <c r="G102">
        <f t="shared" si="3"/>
        <v>4.320447529468777</v>
      </c>
    </row>
    <row r="103" spans="1:7" x14ac:dyDescent="0.3">
      <c r="A103" t="s">
        <v>60</v>
      </c>
      <c r="B103">
        <v>1997</v>
      </c>
      <c r="C103">
        <v>0.21582836221803145</v>
      </c>
      <c r="D103">
        <v>15.351224747863499</v>
      </c>
      <c r="E103">
        <v>20.866762924443002</v>
      </c>
      <c r="F103">
        <f t="shared" si="2"/>
        <v>3.3132296953722919</v>
      </c>
      <c r="G103">
        <f t="shared" si="3"/>
        <v>4.5036392667744733</v>
      </c>
    </row>
    <row r="104" spans="1:7" x14ac:dyDescent="0.3">
      <c r="A104" t="s">
        <v>60</v>
      </c>
      <c r="B104">
        <v>1998</v>
      </c>
      <c r="C104">
        <v>0.22255254629989771</v>
      </c>
      <c r="D104">
        <v>15.657628115280801</v>
      </c>
      <c r="E104">
        <v>20.844412338810098</v>
      </c>
      <c r="F104">
        <f t="shared" si="2"/>
        <v>3.4846450060726104</v>
      </c>
      <c r="G104">
        <f t="shared" si="3"/>
        <v>4.6389770421271939</v>
      </c>
    </row>
    <row r="105" spans="1:7" x14ac:dyDescent="0.3">
      <c r="A105" t="s">
        <v>60</v>
      </c>
      <c r="B105">
        <v>1999</v>
      </c>
      <c r="C105">
        <v>0.2278888795091262</v>
      </c>
      <c r="D105">
        <v>16.733789853015502</v>
      </c>
      <c r="E105">
        <v>21.490704285419401</v>
      </c>
      <c r="F105">
        <f t="shared" si="2"/>
        <v>3.8134446195448883</v>
      </c>
      <c r="G105">
        <f t="shared" si="3"/>
        <v>4.897492519466204</v>
      </c>
    </row>
    <row r="106" spans="1:7" x14ac:dyDescent="0.3">
      <c r="A106" t="s">
        <v>60</v>
      </c>
      <c r="B106">
        <v>2000</v>
      </c>
      <c r="C106">
        <v>0.23143130055976452</v>
      </c>
      <c r="D106">
        <v>17.682156382943798</v>
      </c>
      <c r="E106">
        <v>22.104981889937001</v>
      </c>
      <c r="F106">
        <f t="shared" si="2"/>
        <v>4.0922044484058251</v>
      </c>
      <c r="G106">
        <f t="shared" si="3"/>
        <v>5.115784707638162</v>
      </c>
    </row>
    <row r="107" spans="1:7" x14ac:dyDescent="0.3">
      <c r="A107" t="s">
        <v>60</v>
      </c>
      <c r="B107">
        <v>2001</v>
      </c>
      <c r="C107">
        <v>0.22538736712826959</v>
      </c>
      <c r="D107">
        <v>16.332097698583102</v>
      </c>
      <c r="E107">
        <v>22.420083110797499</v>
      </c>
      <c r="F107">
        <f t="shared" si="2"/>
        <v>3.6810484999653164</v>
      </c>
      <c r="G107">
        <f t="shared" si="3"/>
        <v>5.053203503139633</v>
      </c>
    </row>
    <row r="108" spans="1:7" x14ac:dyDescent="0.3">
      <c r="A108" t="s">
        <v>60</v>
      </c>
      <c r="B108">
        <v>2002</v>
      </c>
      <c r="C108">
        <v>0.21525503140059205</v>
      </c>
      <c r="D108">
        <v>14.879451718456</v>
      </c>
      <c r="E108">
        <v>22.656118913275002</v>
      </c>
      <c r="F108">
        <f t="shared" si="2"/>
        <v>3.2028768468798394</v>
      </c>
      <c r="G108">
        <f t="shared" si="3"/>
        <v>4.8768435880925578</v>
      </c>
    </row>
    <row r="109" spans="1:7" x14ac:dyDescent="0.3">
      <c r="A109" t="s">
        <v>60</v>
      </c>
      <c r="B109">
        <v>2003</v>
      </c>
      <c r="C109">
        <v>0.21619216414100378</v>
      </c>
      <c r="D109">
        <v>14.2056521460062</v>
      </c>
      <c r="E109">
        <v>22.383287791011</v>
      </c>
      <c r="F109">
        <f t="shared" si="2"/>
        <v>3.0711506804793749</v>
      </c>
      <c r="G109">
        <f t="shared" si="3"/>
        <v>4.839091428129576</v>
      </c>
    </row>
    <row r="110" spans="1:7" x14ac:dyDescent="0.3">
      <c r="A110" t="s">
        <v>60</v>
      </c>
      <c r="B110">
        <v>2004</v>
      </c>
      <c r="C110">
        <v>0.22134016389751535</v>
      </c>
      <c r="D110">
        <v>13.7618374566146</v>
      </c>
      <c r="E110">
        <v>21.5332680572422</v>
      </c>
      <c r="F110">
        <f t="shared" si="2"/>
        <v>3.0460473581780412</v>
      </c>
      <c r="G110">
        <f t="shared" si="3"/>
        <v>4.7661770810391202</v>
      </c>
    </row>
    <row r="111" spans="1:7" x14ac:dyDescent="0.3">
      <c r="A111" t="s">
        <v>60</v>
      </c>
      <c r="B111">
        <v>2005</v>
      </c>
      <c r="C111">
        <v>0.22939144504828968</v>
      </c>
      <c r="D111">
        <v>12.974616559878299</v>
      </c>
      <c r="E111">
        <v>20.931565464289701</v>
      </c>
      <c r="F111">
        <f t="shared" si="2"/>
        <v>2.9762660416179521</v>
      </c>
      <c r="G111">
        <f t="shared" si="3"/>
        <v>4.8015220489762891</v>
      </c>
    </row>
    <row r="112" spans="1:7" x14ac:dyDescent="0.3">
      <c r="A112" t="s">
        <v>60</v>
      </c>
      <c r="B112">
        <v>2006</v>
      </c>
      <c r="C112">
        <v>0.2303979794144011</v>
      </c>
      <c r="D112">
        <v>13.200683159600599</v>
      </c>
      <c r="E112">
        <v>20.922611062133502</v>
      </c>
      <c r="F112">
        <f t="shared" si="2"/>
        <v>3.0414107268616899</v>
      </c>
      <c r="G112">
        <f t="shared" si="3"/>
        <v>4.820527312788955</v>
      </c>
    </row>
    <row r="113" spans="1:7" x14ac:dyDescent="0.3">
      <c r="A113" t="s">
        <v>60</v>
      </c>
      <c r="B113">
        <v>2007</v>
      </c>
      <c r="C113">
        <v>0.22357565046990491</v>
      </c>
      <c r="D113">
        <v>14.059956349014801</v>
      </c>
      <c r="E113">
        <v>22.042447673907599</v>
      </c>
      <c r="F113">
        <f t="shared" si="2"/>
        <v>3.1434638863094535</v>
      </c>
      <c r="G113">
        <f t="shared" si="3"/>
        <v>4.9281545766427337</v>
      </c>
    </row>
    <row r="114" spans="1:7" x14ac:dyDescent="0.3">
      <c r="A114" t="s">
        <v>60</v>
      </c>
      <c r="B114">
        <v>2008</v>
      </c>
      <c r="C114">
        <v>0.21317766890088219</v>
      </c>
      <c r="D114">
        <v>14.9009549012418</v>
      </c>
      <c r="E114">
        <v>23.885093019177699</v>
      </c>
      <c r="F114">
        <f t="shared" si="2"/>
        <v>3.1765508302439023</v>
      </c>
      <c r="G114">
        <f t="shared" si="3"/>
        <v>5.0917684513090364</v>
      </c>
    </row>
    <row r="115" spans="1:7" x14ac:dyDescent="0.3">
      <c r="A115" t="s">
        <v>60</v>
      </c>
      <c r="B115">
        <v>2009</v>
      </c>
      <c r="C115">
        <v>0.18848064341364468</v>
      </c>
      <c r="D115">
        <v>16.512897379104501</v>
      </c>
      <c r="E115">
        <v>27.237873731706301</v>
      </c>
      <c r="F115">
        <f t="shared" si="2"/>
        <v>3.1123615226371033</v>
      </c>
      <c r="G115">
        <f t="shared" si="3"/>
        <v>5.1338119661716144</v>
      </c>
    </row>
    <row r="116" spans="1:7" x14ac:dyDescent="0.3">
      <c r="A116" t="s">
        <v>60</v>
      </c>
      <c r="B116">
        <v>2010</v>
      </c>
      <c r="C116">
        <v>0.18383467453287916</v>
      </c>
      <c r="D116">
        <v>17.2187532995484</v>
      </c>
      <c r="E116">
        <v>27.6549232073769</v>
      </c>
      <c r="F116">
        <f t="shared" si="2"/>
        <v>3.1654039086844192</v>
      </c>
      <c r="G116">
        <f t="shared" si="3"/>
        <v>5.0839338070598989</v>
      </c>
    </row>
    <row r="117" spans="1:7" x14ac:dyDescent="0.3">
      <c r="A117" t="s">
        <v>60</v>
      </c>
      <c r="B117">
        <v>2011</v>
      </c>
      <c r="C117">
        <v>0.18805877942287838</v>
      </c>
      <c r="D117">
        <v>17.0522686396715</v>
      </c>
      <c r="E117">
        <v>27.7284454341704</v>
      </c>
      <c r="F117">
        <f t="shared" si="2"/>
        <v>3.2068288267676488</v>
      </c>
      <c r="G117">
        <f t="shared" si="3"/>
        <v>5.2145776036439706</v>
      </c>
    </row>
    <row r="118" spans="1:7" x14ac:dyDescent="0.3">
      <c r="A118" t="s">
        <v>60</v>
      </c>
      <c r="B118">
        <v>2012</v>
      </c>
      <c r="C118">
        <v>0.19581228803568462</v>
      </c>
      <c r="D118">
        <v>16.707198604604098</v>
      </c>
      <c r="E118">
        <v>26.676037411089101</v>
      </c>
      <c r="F118">
        <f t="shared" si="2"/>
        <v>3.2714747854341257</v>
      </c>
      <c r="G118">
        <f t="shared" si="3"/>
        <v>5.223495921190878</v>
      </c>
    </row>
    <row r="119" spans="1:7" x14ac:dyDescent="0.3">
      <c r="A119" t="s">
        <v>60</v>
      </c>
      <c r="B119">
        <v>2013</v>
      </c>
      <c r="C119">
        <v>0.1979097699467216</v>
      </c>
      <c r="D119">
        <v>16.626217757021202</v>
      </c>
      <c r="E119">
        <v>26.486309283340798</v>
      </c>
      <c r="F119">
        <f t="shared" si="2"/>
        <v>3.2904909313761639</v>
      </c>
      <c r="G119">
        <f t="shared" si="3"/>
        <v>5.2418993770036941</v>
      </c>
    </row>
    <row r="120" spans="1:7" x14ac:dyDescent="0.3">
      <c r="A120" t="s">
        <v>60</v>
      </c>
      <c r="B120">
        <v>2014</v>
      </c>
      <c r="C120">
        <v>0.20327081395161753</v>
      </c>
      <c r="D120">
        <v>15.928684903362001</v>
      </c>
      <c r="E120">
        <v>25.757891309595301</v>
      </c>
      <c r="F120">
        <f t="shared" si="2"/>
        <v>3.2378367454852359</v>
      </c>
      <c r="G120">
        <f t="shared" si="3"/>
        <v>5.2358275321787326</v>
      </c>
    </row>
    <row r="121" spans="1:7" x14ac:dyDescent="0.3">
      <c r="A121" t="s">
        <v>60</v>
      </c>
      <c r="B121">
        <v>2015</v>
      </c>
      <c r="C121">
        <v>0.20412970484476597</v>
      </c>
      <c r="D121">
        <v>15.6194810661032</v>
      </c>
      <c r="E121">
        <v>25.638688802703399</v>
      </c>
      <c r="F121">
        <f t="shared" si="2"/>
        <v>3.1884000598520568</v>
      </c>
      <c r="G121">
        <f t="shared" si="3"/>
        <v>5.233617977902651</v>
      </c>
    </row>
    <row r="122" spans="1:7" x14ac:dyDescent="0.3">
      <c r="A122" t="s">
        <v>60</v>
      </c>
      <c r="B122">
        <v>2016</v>
      </c>
      <c r="C122">
        <v>0.20263551892963885</v>
      </c>
      <c r="D122">
        <v>15.9010409070302</v>
      </c>
      <c r="E122">
        <v>26.507614485820099</v>
      </c>
      <c r="F122">
        <f t="shared" si="2"/>
        <v>3.2221156757174798</v>
      </c>
      <c r="G122">
        <f t="shared" si="3"/>
        <v>5.3713842169209673</v>
      </c>
    </row>
    <row r="123" spans="1:7" x14ac:dyDescent="0.3">
      <c r="A123" t="s">
        <v>60</v>
      </c>
      <c r="B123">
        <v>2017</v>
      </c>
      <c r="C123">
        <v>0.20463260976575731</v>
      </c>
      <c r="D123">
        <v>16.1410816499885</v>
      </c>
      <c r="E123">
        <v>26.4428447080128</v>
      </c>
      <c r="F123">
        <f t="shared" si="2"/>
        <v>3.302991662479323</v>
      </c>
      <c r="G123">
        <f t="shared" si="3"/>
        <v>5.4110683222313041</v>
      </c>
    </row>
    <row r="124" spans="1:7" x14ac:dyDescent="0.3">
      <c r="A124" t="s">
        <v>60</v>
      </c>
      <c r="B124">
        <v>2018</v>
      </c>
      <c r="C124">
        <v>0.20759959520394591</v>
      </c>
      <c r="D124">
        <v>16.332173720394501</v>
      </c>
      <c r="E124">
        <v>26.768736909951699</v>
      </c>
      <c r="F124">
        <f t="shared" si="2"/>
        <v>3.3905526531544217</v>
      </c>
      <c r="G124">
        <f t="shared" si="3"/>
        <v>5.5571789466268982</v>
      </c>
    </row>
    <row r="125" spans="1:7" x14ac:dyDescent="0.3">
      <c r="A125" t="s">
        <v>60</v>
      </c>
      <c r="B125">
        <v>2019</v>
      </c>
      <c r="C125">
        <v>0.2078520517629964</v>
      </c>
      <c r="D125">
        <v>16.332173720394501</v>
      </c>
      <c r="E125">
        <v>27.642931217928901</v>
      </c>
      <c r="F125">
        <f t="shared" si="2"/>
        <v>3.3946758175336873</v>
      </c>
      <c r="G125">
        <f t="shared" si="3"/>
        <v>5.7456399703899068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5"/>
  <sheetViews>
    <sheetView tabSelected="1" workbookViewId="0"/>
  </sheetViews>
  <sheetFormatPr defaultColWidth="9.375" defaultRowHeight="13.8" x14ac:dyDescent="0.3"/>
  <sheetData>
    <row r="1" spans="1:18" x14ac:dyDescent="0.3">
      <c r="A1" s="13" t="s">
        <v>66</v>
      </c>
      <c r="B1" s="13" t="s">
        <v>67</v>
      </c>
      <c r="C1" s="14" t="s">
        <v>46</v>
      </c>
      <c r="D1" s="15" t="s">
        <v>47</v>
      </c>
      <c r="E1" s="15" t="s">
        <v>48</v>
      </c>
      <c r="F1" s="15" t="s">
        <v>49</v>
      </c>
      <c r="G1" s="15" t="s">
        <v>50</v>
      </c>
      <c r="H1" s="15" t="s">
        <v>51</v>
      </c>
      <c r="I1" s="16" t="s">
        <v>72</v>
      </c>
      <c r="J1" s="16" t="s">
        <v>73</v>
      </c>
      <c r="K1" s="16" t="s">
        <v>74</v>
      </c>
      <c r="L1" s="15" t="s">
        <v>52</v>
      </c>
      <c r="M1" s="15" t="s">
        <v>53</v>
      </c>
      <c r="N1" s="15" t="s">
        <v>54</v>
      </c>
      <c r="O1" s="16" t="s">
        <v>65</v>
      </c>
      <c r="P1" s="16" t="s">
        <v>63</v>
      </c>
      <c r="Q1" s="16" t="s">
        <v>64</v>
      </c>
      <c r="R1" s="16" t="s">
        <v>68</v>
      </c>
    </row>
    <row r="2" spans="1:18" x14ac:dyDescent="0.3">
      <c r="A2" s="14" t="s">
        <v>5</v>
      </c>
      <c r="B2" s="14" t="s">
        <v>42</v>
      </c>
      <c r="C2" s="17">
        <v>10.9</v>
      </c>
      <c r="D2" s="18">
        <v>2.5150000000000001</v>
      </c>
      <c r="E2" s="18">
        <v>2.5619999999999998</v>
      </c>
      <c r="F2" s="18">
        <v>0.49</v>
      </c>
      <c r="G2" s="11">
        <v>86</v>
      </c>
      <c r="H2" s="17">
        <v>16</v>
      </c>
      <c r="I2" s="20">
        <v>10.300000190734863</v>
      </c>
      <c r="J2" s="20">
        <v>92.300000000000011</v>
      </c>
      <c r="K2" s="21">
        <v>0.79142857142857148</v>
      </c>
      <c r="L2">
        <v>22.343627303005398</v>
      </c>
      <c r="M2">
        <v>21.658153824861799</v>
      </c>
      <c r="N2">
        <v>44.001781127867197</v>
      </c>
      <c r="O2">
        <v>0.23164891731501286</v>
      </c>
      <c r="P2">
        <v>2.1992315885224474</v>
      </c>
      <c r="Q2">
        <v>3.8307286691956612</v>
      </c>
      <c r="R2" t="s">
        <v>39</v>
      </c>
    </row>
    <row r="3" spans="1:18" x14ac:dyDescent="0.3">
      <c r="A3" s="14" t="s">
        <v>6</v>
      </c>
      <c r="B3" s="14" t="s">
        <v>42</v>
      </c>
      <c r="C3" s="17">
        <v>10.7</v>
      </c>
      <c r="D3" s="18">
        <v>2.5150000000000001</v>
      </c>
      <c r="E3" s="18">
        <v>2.5619999999999998</v>
      </c>
      <c r="F3" s="18">
        <v>0.48599999999999999</v>
      </c>
      <c r="G3" s="11">
        <v>86</v>
      </c>
      <c r="H3" s="17">
        <v>16</v>
      </c>
      <c r="I3" s="20">
        <v>10.399999618530273</v>
      </c>
      <c r="J3" s="20">
        <v>93.199996948242188</v>
      </c>
      <c r="K3" s="21">
        <v>0.79142857142857148</v>
      </c>
      <c r="L3">
        <v>21.760321808444999</v>
      </c>
      <c r="M3">
        <v>20.9757333804124</v>
      </c>
      <c r="N3">
        <v>42.736055188857399</v>
      </c>
      <c r="O3">
        <v>0.23382652544481461</v>
      </c>
      <c r="P3">
        <v>2.2542917020764808</v>
      </c>
      <c r="Q3">
        <v>3.9872013275421785</v>
      </c>
      <c r="R3">
        <v>0.20347119999999999</v>
      </c>
    </row>
    <row r="4" spans="1:18" x14ac:dyDescent="0.3">
      <c r="A4" s="14" t="s">
        <v>7</v>
      </c>
      <c r="B4" s="14" t="s">
        <v>42</v>
      </c>
      <c r="C4" s="17">
        <v>10.4</v>
      </c>
      <c r="D4" s="18">
        <v>2.5150000000000001</v>
      </c>
      <c r="E4" s="18">
        <v>3.125</v>
      </c>
      <c r="F4" s="18">
        <v>0.49</v>
      </c>
      <c r="G4" s="11">
        <v>86</v>
      </c>
      <c r="H4" s="17">
        <v>16</v>
      </c>
      <c r="I4" s="20">
        <v>10.600000381469727</v>
      </c>
      <c r="J4" s="20">
        <v>93.2</v>
      </c>
      <c r="K4" s="21">
        <v>0.79142857142857148</v>
      </c>
      <c r="L4">
        <v>21.648797065141199</v>
      </c>
      <c r="M4">
        <v>21.334884423905699</v>
      </c>
      <c r="N4">
        <v>42.983681489046901</v>
      </c>
      <c r="O4">
        <v>0.23178422706529306</v>
      </c>
      <c r="P4">
        <v>2.2583939765629157</v>
      </c>
      <c r="Q4">
        <v>4.0090500576852222</v>
      </c>
      <c r="R4">
        <v>0.1998684</v>
      </c>
    </row>
    <row r="5" spans="1:18" x14ac:dyDescent="0.3">
      <c r="A5" s="14" t="s">
        <v>8</v>
      </c>
      <c r="B5" s="14" t="s">
        <v>42</v>
      </c>
      <c r="C5" s="17">
        <v>10.4</v>
      </c>
      <c r="D5" s="18">
        <v>2.5150000000000001</v>
      </c>
      <c r="E5" s="18">
        <v>3.125</v>
      </c>
      <c r="F5" s="18">
        <v>0.49199999999999999</v>
      </c>
      <c r="G5" s="11">
        <v>86</v>
      </c>
      <c r="H5" s="17">
        <v>16</v>
      </c>
      <c r="I5" s="20">
        <v>10.899999618530273</v>
      </c>
      <c r="J5" s="20">
        <v>93.2</v>
      </c>
      <c r="K5" s="21">
        <v>0.79142857142857148</v>
      </c>
      <c r="L5">
        <v>20.661053260747501</v>
      </c>
      <c r="M5">
        <v>21.3305593452775</v>
      </c>
      <c r="N5">
        <v>41.991612606025001</v>
      </c>
      <c r="O5">
        <v>0.22080880112635093</v>
      </c>
      <c r="P5">
        <v>2.2820855869199783</v>
      </c>
      <c r="Q5">
        <v>4.1360480273127669</v>
      </c>
      <c r="R5">
        <v>0.1970219</v>
      </c>
    </row>
    <row r="6" spans="1:18" x14ac:dyDescent="0.3">
      <c r="A6" s="14" t="s">
        <v>9</v>
      </c>
      <c r="B6" s="14" t="s">
        <v>42</v>
      </c>
      <c r="C6" s="17">
        <v>10</v>
      </c>
      <c r="D6" s="18">
        <v>2.5150000000000001</v>
      </c>
      <c r="E6" s="18">
        <v>3.125</v>
      </c>
      <c r="F6" s="18">
        <v>0.48599999999999999</v>
      </c>
      <c r="G6" s="11">
        <v>86</v>
      </c>
      <c r="H6" s="17">
        <v>16</v>
      </c>
      <c r="I6" s="20">
        <v>11</v>
      </c>
      <c r="J6" s="20">
        <v>93.2</v>
      </c>
      <c r="K6" s="21">
        <v>0.79142857142857148</v>
      </c>
      <c r="L6">
        <v>19.112544314559202</v>
      </c>
      <c r="M6">
        <v>20.792579407224601</v>
      </c>
      <c r="N6">
        <v>39.905123721783802</v>
      </c>
      <c r="O6">
        <v>0.20706336179191376</v>
      </c>
      <c r="P6">
        <v>2.1662366153865169</v>
      </c>
      <c r="Q6">
        <v>4.0068504195437997</v>
      </c>
      <c r="R6">
        <v>0.19449620000000001</v>
      </c>
    </row>
    <row r="7" spans="1:18" x14ac:dyDescent="0.3">
      <c r="A7" s="14" t="s">
        <v>10</v>
      </c>
      <c r="B7" s="14" t="s">
        <v>42</v>
      </c>
      <c r="C7" s="17">
        <v>9.6999999999999993</v>
      </c>
      <c r="D7" s="18">
        <v>2.5150000000000001</v>
      </c>
      <c r="E7" s="18">
        <v>3.125</v>
      </c>
      <c r="F7" s="18">
        <v>0.48899999999999999</v>
      </c>
      <c r="G7" s="11">
        <v>86</v>
      </c>
      <c r="H7" s="17">
        <v>16</v>
      </c>
      <c r="I7" s="20">
        <v>10.899999618530273</v>
      </c>
      <c r="J7" s="20">
        <v>93.2</v>
      </c>
      <c r="K7" s="21">
        <v>0.79142857142857148</v>
      </c>
      <c r="L7">
        <v>20.1659170058998</v>
      </c>
      <c r="M7">
        <v>21.660322731290901</v>
      </c>
      <c r="N7">
        <v>41.826239737190704</v>
      </c>
      <c r="O7">
        <v>0.20423657926537336</v>
      </c>
      <c r="P7">
        <v>2.1741433574503866</v>
      </c>
      <c r="Q7">
        <v>3.9812114427536658</v>
      </c>
      <c r="R7">
        <v>0.19186639999999999</v>
      </c>
    </row>
    <row r="8" spans="1:18" x14ac:dyDescent="0.3">
      <c r="A8" s="14" t="s">
        <v>11</v>
      </c>
      <c r="B8" s="14" t="s">
        <v>42</v>
      </c>
      <c r="C8" s="17">
        <v>9.3000000000000007</v>
      </c>
      <c r="D8" s="18">
        <v>2.5150000000000001</v>
      </c>
      <c r="E8" s="18">
        <v>3.125</v>
      </c>
      <c r="F8" s="18">
        <v>0.48599999999999999</v>
      </c>
      <c r="G8" s="11">
        <v>86</v>
      </c>
      <c r="H8" s="17">
        <v>16</v>
      </c>
      <c r="I8" s="20">
        <v>11.100000381469727</v>
      </c>
      <c r="J8" s="20">
        <v>93.2</v>
      </c>
      <c r="K8" s="21">
        <v>0.79142857142857148</v>
      </c>
      <c r="L8">
        <v>21.0232025170056</v>
      </c>
      <c r="M8">
        <v>22.622926060086701</v>
      </c>
      <c r="N8">
        <v>43.646128577092298</v>
      </c>
      <c r="O8">
        <v>0.20074154161419663</v>
      </c>
      <c r="P8">
        <v>2.1736507345846485</v>
      </c>
      <c r="Q8">
        <v>3.9678298727044869</v>
      </c>
      <c r="R8">
        <v>0.18898290000000001</v>
      </c>
    </row>
    <row r="9" spans="1:18" x14ac:dyDescent="0.3">
      <c r="A9" s="14" t="s">
        <v>12</v>
      </c>
      <c r="B9" s="14" t="s">
        <v>42</v>
      </c>
      <c r="C9" s="17">
        <v>9.1999999999999993</v>
      </c>
      <c r="D9" s="18">
        <v>2.5150000000000001</v>
      </c>
      <c r="E9" s="18">
        <v>3.125</v>
      </c>
      <c r="F9" s="18">
        <v>0.49099999999999999</v>
      </c>
      <c r="G9" s="11">
        <v>86.754385964912274</v>
      </c>
      <c r="H9" s="17">
        <v>16</v>
      </c>
      <c r="I9" s="20">
        <v>10.800000190734863</v>
      </c>
      <c r="J9" s="20">
        <v>93.2</v>
      </c>
      <c r="K9" s="21">
        <v>0.79142857142857148</v>
      </c>
      <c r="L9">
        <v>21.2736750818117</v>
      </c>
      <c r="M9">
        <v>23.055564872000001</v>
      </c>
      <c r="N9">
        <v>44.329239953811701</v>
      </c>
      <c r="O9">
        <v>0.19860077661461109</v>
      </c>
      <c r="P9">
        <v>2.3039833401895295</v>
      </c>
      <c r="Q9">
        <v>4.0934593789496594</v>
      </c>
      <c r="R9">
        <v>0.18460599999999999</v>
      </c>
    </row>
    <row r="10" spans="1:18" x14ac:dyDescent="0.3">
      <c r="A10" s="14" t="s">
        <v>13</v>
      </c>
      <c r="B10" s="14" t="s">
        <v>42</v>
      </c>
      <c r="C10" s="17">
        <v>9.1999999999999993</v>
      </c>
      <c r="D10" s="18">
        <v>2.5150000000000001</v>
      </c>
      <c r="E10" s="18">
        <v>3.125</v>
      </c>
      <c r="F10" s="18">
        <v>0.497</v>
      </c>
      <c r="G10" s="11">
        <v>87.508771929824562</v>
      </c>
      <c r="H10" s="17">
        <v>16</v>
      </c>
      <c r="I10" s="20">
        <v>10.5</v>
      </c>
      <c r="J10" s="20">
        <v>93.699996948242188</v>
      </c>
      <c r="K10" s="21">
        <v>0.79142857142857148</v>
      </c>
      <c r="L10">
        <v>22.510301467306402</v>
      </c>
      <c r="M10">
        <v>25.52319541576</v>
      </c>
      <c r="N10">
        <v>48.033496883066405</v>
      </c>
      <c r="O10">
        <v>0.19519375749294957</v>
      </c>
      <c r="P10">
        <v>2.4268686733020202</v>
      </c>
      <c r="Q10">
        <v>4.1444116076425042</v>
      </c>
      <c r="R10">
        <v>0.17993770000000001</v>
      </c>
    </row>
    <row r="11" spans="1:18" x14ac:dyDescent="0.3">
      <c r="A11" s="14" t="s">
        <v>14</v>
      </c>
      <c r="B11" s="14" t="s">
        <v>42</v>
      </c>
      <c r="C11" s="17">
        <v>9.4</v>
      </c>
      <c r="D11" s="18">
        <v>2.5150000000000001</v>
      </c>
      <c r="E11" s="18">
        <v>3.125</v>
      </c>
      <c r="F11" s="18">
        <v>0.50700000000000001</v>
      </c>
      <c r="G11" s="11">
        <v>86.754385964912274</v>
      </c>
      <c r="H11" s="17">
        <v>16</v>
      </c>
      <c r="I11" s="20">
        <v>10.5</v>
      </c>
      <c r="J11" s="20">
        <v>94.271425519670757</v>
      </c>
      <c r="K11" s="21">
        <v>0.79142857142857148</v>
      </c>
      <c r="L11">
        <v>23.380274814039002</v>
      </c>
      <c r="M11">
        <v>26.126491978672899</v>
      </c>
      <c r="N11">
        <v>49.5067667927119</v>
      </c>
      <c r="O11">
        <v>0.19901087069493659</v>
      </c>
      <c r="P11">
        <v>2.5888086070507224</v>
      </c>
      <c r="Q11">
        <v>4.2137117064016305</v>
      </c>
      <c r="R11">
        <v>0.17475160000000001</v>
      </c>
    </row>
    <row r="12" spans="1:18" x14ac:dyDescent="0.3">
      <c r="A12" s="14" t="s">
        <v>15</v>
      </c>
      <c r="B12" s="14" t="s">
        <v>42</v>
      </c>
      <c r="C12" s="17">
        <v>9.6</v>
      </c>
      <c r="D12" s="18">
        <v>2.5790000000000002</v>
      </c>
      <c r="E12" s="18">
        <v>3.125</v>
      </c>
      <c r="F12" s="18">
        <v>0.503</v>
      </c>
      <c r="G12" s="11">
        <v>86</v>
      </c>
      <c r="H12" s="17">
        <v>16</v>
      </c>
      <c r="I12" s="20">
        <v>10.800000190734863</v>
      </c>
      <c r="J12" s="20">
        <v>94.842854091099326</v>
      </c>
      <c r="K12" s="21">
        <v>0.79142857142857148</v>
      </c>
      <c r="L12">
        <v>23.684385213693901</v>
      </c>
      <c r="M12">
        <v>26.0765353865349</v>
      </c>
      <c r="N12">
        <v>49.7609206002288</v>
      </c>
      <c r="O12">
        <v>0.20809293947096075</v>
      </c>
      <c r="P12">
        <v>2.77666151183031</v>
      </c>
      <c r="Q12">
        <v>4.3838004182947063</v>
      </c>
      <c r="R12">
        <v>0.1695874</v>
      </c>
    </row>
    <row r="13" spans="1:18" x14ac:dyDescent="0.3">
      <c r="A13" s="14" t="s">
        <v>16</v>
      </c>
      <c r="B13" s="14" t="s">
        <v>42</v>
      </c>
      <c r="C13" s="17">
        <v>9.5</v>
      </c>
      <c r="D13" s="18">
        <v>2.5790000000000002</v>
      </c>
      <c r="E13" s="18">
        <v>3.125</v>
      </c>
      <c r="F13" s="18">
        <v>0.501</v>
      </c>
      <c r="G13" s="11">
        <v>86</v>
      </c>
      <c r="H13" s="17">
        <v>16</v>
      </c>
      <c r="I13" s="20">
        <v>10.800000190734863</v>
      </c>
      <c r="J13" s="20">
        <v>95.414282662527896</v>
      </c>
      <c r="K13" s="21">
        <v>0.82714285714285718</v>
      </c>
      <c r="L13">
        <v>27.266271469005801</v>
      </c>
      <c r="M13">
        <v>28.594974249028599</v>
      </c>
      <c r="N13">
        <v>55.861245718034397</v>
      </c>
      <c r="O13">
        <v>0.21514353280900786</v>
      </c>
      <c r="P13">
        <v>2.8599640914074782</v>
      </c>
      <c r="Q13">
        <v>4.4288289205128653</v>
      </c>
      <c r="R13">
        <v>0.165017</v>
      </c>
    </row>
    <row r="14" spans="1:18" x14ac:dyDescent="0.3">
      <c r="A14" s="14" t="s">
        <v>17</v>
      </c>
      <c r="B14" s="14" t="s">
        <v>42</v>
      </c>
      <c r="C14" s="17">
        <v>9.4</v>
      </c>
      <c r="D14" s="18">
        <v>2.5790000000000002</v>
      </c>
      <c r="E14" s="18">
        <v>3.125</v>
      </c>
      <c r="F14" s="18">
        <v>0.50800000000000001</v>
      </c>
      <c r="G14" s="19">
        <v>86</v>
      </c>
      <c r="H14" s="17">
        <v>16</v>
      </c>
      <c r="I14" s="20">
        <v>10.800000190734863</v>
      </c>
      <c r="J14" s="20">
        <v>95.985711233956465</v>
      </c>
      <c r="K14" s="21">
        <v>0.82714285714285718</v>
      </c>
      <c r="L14">
        <v>26.693472890391401</v>
      </c>
      <c r="M14">
        <v>28.265895202184399</v>
      </c>
      <c r="N14">
        <v>54.959368092575801</v>
      </c>
      <c r="O14">
        <v>0.21513392275177734</v>
      </c>
      <c r="P14">
        <v>3.0612404106550914</v>
      </c>
      <c r="Q14">
        <v>4.6526459494850574</v>
      </c>
      <c r="R14">
        <v>0.16144140000000001</v>
      </c>
    </row>
    <row r="15" spans="1:18" x14ac:dyDescent="0.3">
      <c r="A15" s="14" t="s">
        <v>18</v>
      </c>
      <c r="B15" s="14" t="s">
        <v>42</v>
      </c>
      <c r="C15" s="17">
        <v>9.5</v>
      </c>
      <c r="D15" s="18">
        <v>2.5790000000000002</v>
      </c>
      <c r="E15" s="18">
        <v>3.125</v>
      </c>
      <c r="F15" s="18">
        <v>0.51</v>
      </c>
      <c r="G15" s="19">
        <v>85</v>
      </c>
      <c r="H15" s="17">
        <v>16</v>
      </c>
      <c r="I15" s="20">
        <v>10.800000190734863</v>
      </c>
      <c r="J15" s="20">
        <v>96.557139805385034</v>
      </c>
      <c r="K15" s="21">
        <v>0.82714285714285718</v>
      </c>
      <c r="L15">
        <v>25.5409745004028</v>
      </c>
      <c r="M15">
        <v>27.531050257930801</v>
      </c>
      <c r="N15">
        <v>53.072024758333598</v>
      </c>
      <c r="O15">
        <v>0.20953389797399516</v>
      </c>
      <c r="P15">
        <v>2.8421826252970801</v>
      </c>
      <c r="Q15">
        <v>4.5659198774937053</v>
      </c>
      <c r="R15">
        <v>0.15809119999999999</v>
      </c>
    </row>
    <row r="16" spans="1:18" x14ac:dyDescent="0.3">
      <c r="A16" s="14" t="s">
        <v>19</v>
      </c>
      <c r="B16" s="14" t="s">
        <v>42</v>
      </c>
      <c r="C16" s="17">
        <v>9.1999999999999993</v>
      </c>
      <c r="D16" s="18">
        <v>2.706</v>
      </c>
      <c r="E16" s="18">
        <v>3.125</v>
      </c>
      <c r="F16" s="18">
        <v>0.51600000000000001</v>
      </c>
      <c r="G16" s="19">
        <v>84</v>
      </c>
      <c r="H16" s="17">
        <v>16</v>
      </c>
      <c r="I16" s="20">
        <v>10.800000190734863</v>
      </c>
      <c r="J16" s="20">
        <v>97.128568376813604</v>
      </c>
      <c r="K16" s="21">
        <v>0.79142857142857148</v>
      </c>
      <c r="L16">
        <v>24.6858645485955</v>
      </c>
      <c r="M16">
        <v>26.111968974639801</v>
      </c>
      <c r="N16">
        <v>50.797833523235298</v>
      </c>
      <c r="O16">
        <v>0.21034840982103248</v>
      </c>
      <c r="P16">
        <v>2.7245309589073319</v>
      </c>
      <c r="Q16">
        <v>4.4357949457694215</v>
      </c>
      <c r="R16">
        <v>0.15546660000000001</v>
      </c>
    </row>
    <row r="17" spans="1:18" x14ac:dyDescent="0.3">
      <c r="A17" s="14" t="s">
        <v>20</v>
      </c>
      <c r="B17" s="14" t="s">
        <v>42</v>
      </c>
      <c r="C17" s="17">
        <v>8.9</v>
      </c>
      <c r="D17" s="18">
        <v>2.706</v>
      </c>
      <c r="E17" s="18">
        <v>3.125</v>
      </c>
      <c r="F17" s="18">
        <v>0.53</v>
      </c>
      <c r="G17" s="19">
        <v>85</v>
      </c>
      <c r="H17" s="17">
        <v>42</v>
      </c>
      <c r="I17" s="20">
        <v>10.5</v>
      </c>
      <c r="J17" s="20">
        <v>97.699996948242188</v>
      </c>
      <c r="K17" s="21">
        <v>0.79142857142857148</v>
      </c>
      <c r="L17">
        <v>25.4561715567725</v>
      </c>
      <c r="M17">
        <v>26.468836321660699</v>
      </c>
      <c r="N17">
        <v>51.925007878433199</v>
      </c>
      <c r="O17">
        <v>0.21364609215509259</v>
      </c>
      <c r="P17">
        <v>2.6795475894713081</v>
      </c>
      <c r="Q17">
        <v>4.4005377911540755</v>
      </c>
      <c r="R17">
        <v>0.15273329999999999</v>
      </c>
    </row>
    <row r="18" spans="1:18" x14ac:dyDescent="0.3">
      <c r="A18" s="14" t="s">
        <v>21</v>
      </c>
      <c r="B18" s="14" t="s">
        <v>42</v>
      </c>
      <c r="C18" s="17">
        <v>8.6</v>
      </c>
      <c r="D18" s="18">
        <v>2.706</v>
      </c>
      <c r="E18" s="18">
        <v>3.125</v>
      </c>
      <c r="F18" s="18">
        <v>0.54100000000000004</v>
      </c>
      <c r="G18" s="19">
        <v>84</v>
      </c>
      <c r="H18" s="17">
        <v>42</v>
      </c>
      <c r="I18" s="20">
        <v>10.5</v>
      </c>
      <c r="J18" s="20">
        <v>97.7</v>
      </c>
      <c r="K18" s="21">
        <v>0.79142857142857148</v>
      </c>
      <c r="L18">
        <v>26.947655734594999</v>
      </c>
      <c r="M18">
        <v>27.0330510418171</v>
      </c>
      <c r="N18">
        <v>53.980706776412099</v>
      </c>
      <c r="O18">
        <v>0.21797435288127653</v>
      </c>
      <c r="P18">
        <v>2.7475996700109477</v>
      </c>
      <c r="Q18">
        <v>4.4149034021653737</v>
      </c>
      <c r="R18">
        <v>0.14966979999999999</v>
      </c>
    </row>
    <row r="19" spans="1:18" x14ac:dyDescent="0.3">
      <c r="A19" s="14" t="s">
        <v>22</v>
      </c>
      <c r="B19" s="14" t="s">
        <v>42</v>
      </c>
      <c r="C19" s="17">
        <v>8.6</v>
      </c>
      <c r="D19" s="18">
        <v>2.706</v>
      </c>
      <c r="E19" s="18">
        <v>3.125</v>
      </c>
      <c r="F19" s="18">
        <v>0.51</v>
      </c>
      <c r="G19" s="19">
        <v>84</v>
      </c>
      <c r="H19" s="17">
        <v>42</v>
      </c>
      <c r="I19" s="20">
        <v>10.5</v>
      </c>
      <c r="J19" s="20">
        <v>97.7</v>
      </c>
      <c r="K19" s="21">
        <v>0.79142857142857148</v>
      </c>
      <c r="L19">
        <v>28.168369359429999</v>
      </c>
      <c r="M19">
        <v>27.935055090195601</v>
      </c>
      <c r="N19">
        <v>56.103424449625599</v>
      </c>
      <c r="O19">
        <v>0.22450708849116149</v>
      </c>
      <c r="P19">
        <v>2.806264207456715</v>
      </c>
      <c r="Q19">
        <v>4.4841574103186765</v>
      </c>
      <c r="R19">
        <v>0.14687410000000001</v>
      </c>
    </row>
    <row r="20" spans="1:18" x14ac:dyDescent="0.3">
      <c r="A20" s="14" t="s">
        <v>23</v>
      </c>
      <c r="B20" s="14" t="s">
        <v>42</v>
      </c>
      <c r="C20" s="17">
        <v>8.5</v>
      </c>
      <c r="D20" s="18">
        <v>2.706</v>
      </c>
      <c r="E20" s="18">
        <v>3.125</v>
      </c>
      <c r="F20" s="18">
        <v>0.50700000000000001</v>
      </c>
      <c r="G20" s="19">
        <v>84</v>
      </c>
      <c r="H20" s="17">
        <v>42</v>
      </c>
      <c r="I20" s="20">
        <v>10.5</v>
      </c>
      <c r="J20" s="20">
        <v>97.7</v>
      </c>
      <c r="K20" s="21">
        <v>0.79142857142857148</v>
      </c>
      <c r="L20">
        <v>28.567499072814901</v>
      </c>
      <c r="M20">
        <v>27.853257510199001</v>
      </c>
      <c r="N20">
        <v>56.420756583013898</v>
      </c>
      <c r="O20">
        <v>0.23182665778690231</v>
      </c>
      <c r="P20">
        <v>2.8146763116501927</v>
      </c>
      <c r="Q20">
        <v>4.4978262697323146</v>
      </c>
      <c r="R20">
        <v>0.14578579999999999</v>
      </c>
    </row>
    <row r="21" spans="1:18" x14ac:dyDescent="0.3">
      <c r="A21" s="14" t="s">
        <v>24</v>
      </c>
      <c r="B21" s="14" t="s">
        <v>42</v>
      </c>
      <c r="C21" s="17">
        <v>8.5</v>
      </c>
      <c r="D21" s="18">
        <v>2.5790000000000002</v>
      </c>
      <c r="E21" s="18">
        <v>3.125</v>
      </c>
      <c r="F21" s="18">
        <v>0.50600000000000001</v>
      </c>
      <c r="G21" s="19">
        <v>84</v>
      </c>
      <c r="H21" s="17">
        <v>42</v>
      </c>
      <c r="I21" s="20">
        <v>10.699999809265137</v>
      </c>
      <c r="J21" s="20">
        <v>97.7</v>
      </c>
      <c r="K21" s="21">
        <v>0.79142857142857148</v>
      </c>
      <c r="L21">
        <v>29.277698029492399</v>
      </c>
      <c r="M21">
        <v>28.119384856302499</v>
      </c>
      <c r="N21">
        <v>57.397082885794902</v>
      </c>
      <c r="O21">
        <v>0.23596050948181149</v>
      </c>
      <c r="P21">
        <v>2.9560625977543578</v>
      </c>
      <c r="Q21">
        <v>4.6765175306160973</v>
      </c>
      <c r="R21">
        <v>0.1446143</v>
      </c>
    </row>
    <row r="22" spans="1:18" x14ac:dyDescent="0.3">
      <c r="A22" s="14" t="s">
        <v>25</v>
      </c>
      <c r="B22" s="14" t="s">
        <v>42</v>
      </c>
      <c r="C22" s="17">
        <v>8.8000000000000007</v>
      </c>
      <c r="D22" s="18">
        <v>2.496</v>
      </c>
      <c r="E22" s="18">
        <v>3.125</v>
      </c>
      <c r="F22" s="18">
        <v>0.50800000000000001</v>
      </c>
      <c r="G22" s="19">
        <v>84</v>
      </c>
      <c r="H22" s="17">
        <v>42</v>
      </c>
      <c r="I22" s="20">
        <v>10.699999809265137</v>
      </c>
      <c r="J22" s="20">
        <v>98</v>
      </c>
      <c r="K22" s="21">
        <v>0.79142857142857148</v>
      </c>
      <c r="L22">
        <v>25.6269036398058</v>
      </c>
      <c r="M22">
        <v>24.835547210267201</v>
      </c>
      <c r="N22">
        <v>50.462450850072997</v>
      </c>
      <c r="O22">
        <v>0.22067503867134536</v>
      </c>
      <c r="P22">
        <v>2.7796110541245826</v>
      </c>
      <c r="Q22">
        <v>4.6976330543334264</v>
      </c>
      <c r="R22">
        <v>0.14350679999999999</v>
      </c>
    </row>
    <row r="23" spans="1:18" x14ac:dyDescent="0.3">
      <c r="A23" s="14" t="s">
        <v>26</v>
      </c>
      <c r="B23" s="14" t="s">
        <v>42</v>
      </c>
      <c r="C23" s="17">
        <v>9</v>
      </c>
      <c r="D23" s="18">
        <v>2.496</v>
      </c>
      <c r="E23" s="18">
        <v>3.125</v>
      </c>
      <c r="F23" s="18">
        <v>0.502</v>
      </c>
      <c r="G23" s="19">
        <v>84</v>
      </c>
      <c r="H23" s="17">
        <v>42</v>
      </c>
      <c r="I23" s="20">
        <v>10.800000190734863</v>
      </c>
      <c r="J23" s="20">
        <v>98</v>
      </c>
      <c r="K23" s="21">
        <v>0.79142857142857148</v>
      </c>
      <c r="L23">
        <v>28.0794912416196</v>
      </c>
      <c r="M23">
        <v>26.788299840273801</v>
      </c>
      <c r="N23">
        <v>54.867791081893401</v>
      </c>
      <c r="O23">
        <v>0.22105419317215153</v>
      </c>
      <c r="P23">
        <v>2.8467555329170762</v>
      </c>
      <c r="Q23">
        <v>4.7627687021116394</v>
      </c>
      <c r="R23">
        <v>0.14299970000000001</v>
      </c>
    </row>
    <row r="24" spans="1:18" x14ac:dyDescent="0.3">
      <c r="A24" s="14" t="s">
        <v>27</v>
      </c>
      <c r="B24" s="14" t="s">
        <v>42</v>
      </c>
      <c r="C24" s="17">
        <v>9.1</v>
      </c>
      <c r="D24" s="18">
        <v>2.496</v>
      </c>
      <c r="E24" s="18">
        <v>3.125</v>
      </c>
      <c r="F24" s="18">
        <v>0.5</v>
      </c>
      <c r="G24" s="19">
        <v>84</v>
      </c>
      <c r="H24" s="17">
        <v>42</v>
      </c>
      <c r="I24" s="20">
        <v>10.800000190734863</v>
      </c>
      <c r="J24" s="20">
        <v>98</v>
      </c>
      <c r="K24" s="21">
        <v>0.79142857142857148</v>
      </c>
      <c r="L24">
        <v>30.369238945980999</v>
      </c>
      <c r="M24">
        <v>28.421337476419399</v>
      </c>
      <c r="N24">
        <v>58.790576422400399</v>
      </c>
      <c r="O24">
        <v>0.22423870558777415</v>
      </c>
      <c r="P24">
        <v>2.8766950932193511</v>
      </c>
      <c r="Q24">
        <v>4.8381509845546899</v>
      </c>
      <c r="R24">
        <v>0.14240220000000001</v>
      </c>
    </row>
    <row r="25" spans="1:18" x14ac:dyDescent="0.3">
      <c r="A25" s="14" t="s">
        <v>28</v>
      </c>
      <c r="B25" s="14" t="s">
        <v>42</v>
      </c>
      <c r="C25" s="17">
        <v>9.1</v>
      </c>
      <c r="D25" s="18">
        <v>2.496</v>
      </c>
      <c r="E25" s="18">
        <v>3.125</v>
      </c>
      <c r="F25" s="18">
        <v>0.50800000000000001</v>
      </c>
      <c r="G25" s="19">
        <v>84</v>
      </c>
      <c r="H25" s="17">
        <v>42</v>
      </c>
      <c r="I25" s="20">
        <v>10.800000190734863</v>
      </c>
      <c r="J25" s="20">
        <v>98</v>
      </c>
      <c r="K25" s="21">
        <v>0.79142857142857148</v>
      </c>
      <c r="L25">
        <v>30.499031981938</v>
      </c>
      <c r="M25">
        <v>29.2030271868495</v>
      </c>
      <c r="N25">
        <v>59.7020591687875</v>
      </c>
      <c r="O25">
        <v>0.22458114779283414</v>
      </c>
      <c r="P25">
        <v>3.0071275226305629</v>
      </c>
      <c r="Q25">
        <v>4.9522118860100601</v>
      </c>
      <c r="R25">
        <v>0.14073269999999999</v>
      </c>
    </row>
    <row r="26" spans="1:18" x14ac:dyDescent="0.3">
      <c r="A26" s="14" t="s">
        <v>29</v>
      </c>
      <c r="B26" s="14" t="s">
        <v>42</v>
      </c>
      <c r="C26" s="17">
        <v>9</v>
      </c>
      <c r="D26" s="18">
        <v>2.496</v>
      </c>
      <c r="E26" s="18">
        <v>3.125</v>
      </c>
      <c r="F26" s="18">
        <v>0.50600000000000001</v>
      </c>
      <c r="G26" s="19">
        <v>84</v>
      </c>
      <c r="H26" s="17">
        <v>42</v>
      </c>
      <c r="I26" s="20">
        <v>11</v>
      </c>
      <c r="J26" s="20">
        <v>98</v>
      </c>
      <c r="K26" s="21">
        <v>0.79142857142857148</v>
      </c>
      <c r="L26">
        <v>30.399317207863799</v>
      </c>
      <c r="M26">
        <v>29.3647378670492</v>
      </c>
      <c r="N26">
        <v>59.764055074913003</v>
      </c>
      <c r="O26">
        <v>0.22041867789127653</v>
      </c>
      <c r="P26">
        <v>2.9862237160032619</v>
      </c>
      <c r="Q26">
        <v>5.0169351933827855</v>
      </c>
      <c r="R26">
        <v>0.1393046</v>
      </c>
    </row>
    <row r="27" spans="1:18" x14ac:dyDescent="0.3">
      <c r="A27" s="14" t="s">
        <v>30</v>
      </c>
      <c r="B27" s="14" t="s">
        <v>42</v>
      </c>
      <c r="C27" s="17">
        <v>9</v>
      </c>
      <c r="D27" s="18">
        <v>2.496</v>
      </c>
      <c r="E27" s="18">
        <v>3.125</v>
      </c>
      <c r="F27" s="18">
        <v>0.505</v>
      </c>
      <c r="G27" s="19">
        <v>84</v>
      </c>
      <c r="H27" s="17">
        <v>42</v>
      </c>
      <c r="I27" s="20">
        <v>11</v>
      </c>
      <c r="J27" s="20">
        <v>98</v>
      </c>
      <c r="K27" s="21">
        <v>0.79142857142857148</v>
      </c>
      <c r="L27">
        <v>30.812112021546501</v>
      </c>
      <c r="M27">
        <v>29.666684498073</v>
      </c>
      <c r="N27">
        <v>60.4787965196195</v>
      </c>
      <c r="O27">
        <v>0.21819733779072684</v>
      </c>
      <c r="P27">
        <v>3.0780108515332043</v>
      </c>
      <c r="Q27">
        <v>5.0617160466916591</v>
      </c>
      <c r="R27">
        <v>0.1381802</v>
      </c>
    </row>
    <row r="28" spans="1:18" x14ac:dyDescent="0.3">
      <c r="A28" s="14" t="s">
        <v>31</v>
      </c>
      <c r="B28" s="14" t="s">
        <v>42</v>
      </c>
      <c r="C28" s="17">
        <v>9</v>
      </c>
      <c r="D28" s="18">
        <v>2.496</v>
      </c>
      <c r="E28" s="18">
        <v>3.125</v>
      </c>
      <c r="F28" s="18">
        <v>0.503</v>
      </c>
      <c r="G28" s="19">
        <v>85</v>
      </c>
      <c r="H28" s="17">
        <v>42</v>
      </c>
      <c r="I28" s="20">
        <v>11</v>
      </c>
      <c r="J28" s="20">
        <v>98</v>
      </c>
      <c r="K28" s="21">
        <v>0.79142857142857148</v>
      </c>
      <c r="L28">
        <v>31.159071556454801</v>
      </c>
      <c r="M28">
        <v>30.592622378131299</v>
      </c>
      <c r="N28">
        <v>61.7516939345861</v>
      </c>
      <c r="O28">
        <v>0.21499277677388312</v>
      </c>
      <c r="P28">
        <v>3.2226150289961173</v>
      </c>
      <c r="Q28">
        <v>5.1482602170425107</v>
      </c>
      <c r="R28">
        <v>0.13652359999999999</v>
      </c>
    </row>
    <row r="29" spans="1:18" x14ac:dyDescent="0.3">
      <c r="A29" s="14" t="s">
        <v>32</v>
      </c>
      <c r="B29" s="14" t="s">
        <v>42</v>
      </c>
      <c r="C29" s="17">
        <v>9</v>
      </c>
      <c r="D29" s="18">
        <v>2.496</v>
      </c>
      <c r="E29" s="18">
        <v>3</v>
      </c>
      <c r="F29" s="18">
        <v>0.5</v>
      </c>
      <c r="G29" s="19">
        <v>85</v>
      </c>
      <c r="H29" s="17">
        <v>42</v>
      </c>
      <c r="I29" s="20">
        <v>10.800000190734863</v>
      </c>
      <c r="J29" s="20">
        <v>98</v>
      </c>
      <c r="K29" s="21">
        <v>0.67285714285714282</v>
      </c>
      <c r="L29">
        <v>30.852605198715001</v>
      </c>
      <c r="M29">
        <v>30.247537183394499</v>
      </c>
      <c r="N29">
        <v>61.100142382109496</v>
      </c>
      <c r="O29">
        <v>0.21815302523665894</v>
      </c>
      <c r="P29">
        <v>3.3807806092859476</v>
      </c>
      <c r="Q29">
        <v>5.2916371448941995</v>
      </c>
      <c r="R29">
        <v>0.13454369999999999</v>
      </c>
    </row>
    <row r="30" spans="1:18" x14ac:dyDescent="0.3">
      <c r="A30" s="14" t="s">
        <v>33</v>
      </c>
      <c r="B30" s="14" t="s">
        <v>42</v>
      </c>
      <c r="C30" s="17">
        <v>8.9</v>
      </c>
      <c r="D30" s="18">
        <v>2.496</v>
      </c>
      <c r="E30" s="18">
        <v>3</v>
      </c>
      <c r="F30" s="18">
        <v>0.498</v>
      </c>
      <c r="G30" s="19">
        <v>85</v>
      </c>
      <c r="H30" s="17">
        <v>42</v>
      </c>
      <c r="I30" s="20">
        <v>10.6</v>
      </c>
      <c r="J30" s="20">
        <v>98</v>
      </c>
      <c r="K30" s="21">
        <v>0.67285714285714282</v>
      </c>
      <c r="L30" s="17" t="s">
        <v>39</v>
      </c>
      <c r="M30" t="s">
        <v>39</v>
      </c>
      <c r="N30">
        <v>61.100142382109496</v>
      </c>
      <c r="O30">
        <v>0.22495845022409008</v>
      </c>
      <c r="P30">
        <v>3.5780296554497211</v>
      </c>
      <c r="Q30">
        <v>5.4455734322527851</v>
      </c>
      <c r="R30">
        <v>0.1323627</v>
      </c>
    </row>
    <row r="31" spans="1:18" x14ac:dyDescent="0.3">
      <c r="A31" s="14" t="s">
        <v>34</v>
      </c>
      <c r="B31" s="14" t="s">
        <v>42</v>
      </c>
      <c r="C31" s="17">
        <v>8.8000000000000007</v>
      </c>
      <c r="D31" s="18">
        <v>2.5590000000000002</v>
      </c>
      <c r="E31" s="18">
        <v>3</v>
      </c>
      <c r="F31" s="18">
        <v>0.497</v>
      </c>
      <c r="G31" s="19">
        <v>85</v>
      </c>
      <c r="H31" s="17">
        <v>42</v>
      </c>
      <c r="I31" s="20">
        <v>10.4</v>
      </c>
      <c r="J31" s="20">
        <v>98</v>
      </c>
      <c r="K31" s="21">
        <v>0.67285714285714282</v>
      </c>
      <c r="L31" s="17" t="s">
        <v>39</v>
      </c>
      <c r="M31" t="s">
        <v>39</v>
      </c>
      <c r="N31">
        <v>61.100142382109496</v>
      </c>
      <c r="O31">
        <v>0.22906975800332843</v>
      </c>
      <c r="P31">
        <v>3.7403942144484774</v>
      </c>
      <c r="Q31">
        <v>5.6339531650601717</v>
      </c>
      <c r="R31" t="s">
        <v>39</v>
      </c>
    </row>
    <row r="32" spans="1:18" x14ac:dyDescent="0.3">
      <c r="A32" s="14">
        <v>2019</v>
      </c>
      <c r="B32" s="14" t="s">
        <v>42</v>
      </c>
      <c r="C32" s="17">
        <v>8.8000000000000007</v>
      </c>
      <c r="D32" s="18">
        <v>2.5590000000000002</v>
      </c>
      <c r="E32" s="18">
        <v>3</v>
      </c>
      <c r="F32" s="18">
        <v>0.496</v>
      </c>
      <c r="G32" s="19">
        <v>85</v>
      </c>
      <c r="H32" s="17">
        <v>42</v>
      </c>
      <c r="I32" s="20">
        <v>10.100000381469727</v>
      </c>
      <c r="J32" s="20">
        <v>98</v>
      </c>
      <c r="K32" s="21">
        <v>0.67285714285714282</v>
      </c>
      <c r="L32" s="17" t="s">
        <v>39</v>
      </c>
      <c r="M32" t="s">
        <v>39</v>
      </c>
      <c r="N32">
        <v>61.100142382109496</v>
      </c>
      <c r="O32">
        <v>0.23625968164802794</v>
      </c>
      <c r="P32">
        <v>3.9007992707865697</v>
      </c>
      <c r="Q32">
        <v>5.7825179272834974</v>
      </c>
      <c r="R32" t="s">
        <v>39</v>
      </c>
    </row>
    <row r="33" spans="1:18" x14ac:dyDescent="0.3">
      <c r="A33" s="14" t="s">
        <v>5</v>
      </c>
      <c r="B33" s="14" t="s">
        <v>43</v>
      </c>
      <c r="C33" s="17">
        <v>32.4</v>
      </c>
      <c r="D33" s="18">
        <v>2.5</v>
      </c>
      <c r="E33" s="18">
        <v>3.25</v>
      </c>
      <c r="F33" s="18" t="s">
        <v>39</v>
      </c>
      <c r="G33" s="11">
        <v>93</v>
      </c>
      <c r="H33" s="17">
        <v>57</v>
      </c>
      <c r="I33" s="20">
        <v>30</v>
      </c>
      <c r="J33" s="20">
        <v>85</v>
      </c>
      <c r="K33" s="21">
        <v>0.61</v>
      </c>
      <c r="L33">
        <v>22.916298186506701</v>
      </c>
      <c r="M33">
        <v>22.299619941323801</v>
      </c>
      <c r="N33">
        <v>45.215918127830506</v>
      </c>
      <c r="O33">
        <v>0.23611202077238216</v>
      </c>
      <c r="P33">
        <v>1.7749018152771623</v>
      </c>
      <c r="Q33">
        <v>2.886864642102855</v>
      </c>
      <c r="R33" t="s">
        <v>39</v>
      </c>
    </row>
    <row r="34" spans="1:18" x14ac:dyDescent="0.3">
      <c r="A34" s="14" t="s">
        <v>6</v>
      </c>
      <c r="B34" s="14" t="s">
        <v>43</v>
      </c>
      <c r="C34" s="17">
        <v>31.2</v>
      </c>
      <c r="D34" s="18">
        <v>2.5</v>
      </c>
      <c r="E34" s="18">
        <v>3.25</v>
      </c>
      <c r="F34" s="18" t="s">
        <v>39</v>
      </c>
      <c r="G34" s="11">
        <v>95.657142857142858</v>
      </c>
      <c r="H34" s="17">
        <v>70</v>
      </c>
      <c r="I34" s="20">
        <v>29.399999618530273</v>
      </c>
      <c r="J34" s="20">
        <v>85</v>
      </c>
      <c r="K34" s="21">
        <v>0.61</v>
      </c>
      <c r="L34">
        <v>23.027751045758901</v>
      </c>
      <c r="M34">
        <v>22.835836554557901</v>
      </c>
      <c r="N34">
        <v>45.863587600316805</v>
      </c>
      <c r="O34">
        <v>0.24422675097033403</v>
      </c>
      <c r="P34">
        <v>1.8359018834300407</v>
      </c>
      <c r="Q34">
        <v>2.8777362429932745</v>
      </c>
      <c r="R34" t="s">
        <v>39</v>
      </c>
    </row>
    <row r="35" spans="1:18" x14ac:dyDescent="0.3">
      <c r="A35" s="14" t="s">
        <v>7</v>
      </c>
      <c r="B35" s="14" t="s">
        <v>43</v>
      </c>
      <c r="C35" s="17">
        <v>36</v>
      </c>
      <c r="D35" s="18">
        <v>2.5</v>
      </c>
      <c r="E35" s="18">
        <v>3.25</v>
      </c>
      <c r="F35" s="18" t="s">
        <v>39</v>
      </c>
      <c r="G35" s="11">
        <v>98.314285714285717</v>
      </c>
      <c r="H35" s="17">
        <v>83.3</v>
      </c>
      <c r="I35" s="20">
        <v>33.900001525878906</v>
      </c>
      <c r="J35" s="20">
        <v>84.16</v>
      </c>
      <c r="K35" s="21">
        <v>0.62857142857142867</v>
      </c>
      <c r="L35">
        <v>24.1524782444192</v>
      </c>
      <c r="M35">
        <v>23.664900996342499</v>
      </c>
      <c r="N35">
        <v>47.817379240761696</v>
      </c>
      <c r="O35">
        <v>0.24890969844601193</v>
      </c>
      <c r="P35">
        <v>1.8711045467600922</v>
      </c>
      <c r="Q35">
        <v>2.7857863524488029</v>
      </c>
      <c r="R35">
        <v>0.17146330000000001</v>
      </c>
    </row>
    <row r="36" spans="1:18" x14ac:dyDescent="0.3">
      <c r="A36" s="14" t="s">
        <v>8</v>
      </c>
      <c r="B36" s="14" t="s">
        <v>43</v>
      </c>
      <c r="C36" s="17">
        <v>33.9</v>
      </c>
      <c r="D36" s="18">
        <v>2.5</v>
      </c>
      <c r="E36" s="18">
        <v>3.25</v>
      </c>
      <c r="F36" s="18" t="s">
        <v>39</v>
      </c>
      <c r="G36" s="11">
        <v>95.657142857142858</v>
      </c>
      <c r="H36" s="17">
        <v>83.3</v>
      </c>
      <c r="I36" s="20">
        <v>31.899999618530273</v>
      </c>
      <c r="J36" s="20">
        <v>83.32</v>
      </c>
      <c r="K36" s="21">
        <v>0.62857142857142867</v>
      </c>
      <c r="L36">
        <v>22.696144671750702</v>
      </c>
      <c r="M36">
        <v>22.1946934890662</v>
      </c>
      <c r="N36">
        <v>44.890838160816898</v>
      </c>
      <c r="O36">
        <v>0.2520116797923691</v>
      </c>
      <c r="P36">
        <v>1.8944227679357641</v>
      </c>
      <c r="Q36">
        <v>2.8296299758613914</v>
      </c>
      <c r="R36">
        <v>0.1670336</v>
      </c>
    </row>
    <row r="37" spans="1:18" x14ac:dyDescent="0.3">
      <c r="A37" s="14" t="s">
        <v>9</v>
      </c>
      <c r="B37" s="14" t="s">
        <v>43</v>
      </c>
      <c r="C37" s="17">
        <v>31.8</v>
      </c>
      <c r="D37" s="18">
        <v>2.5</v>
      </c>
      <c r="E37" s="18">
        <v>3.25</v>
      </c>
      <c r="F37" s="18" t="s">
        <v>39</v>
      </c>
      <c r="G37" s="11">
        <v>93</v>
      </c>
      <c r="H37" s="17">
        <v>109.3</v>
      </c>
      <c r="I37" s="20">
        <v>30</v>
      </c>
      <c r="J37" s="20">
        <v>82.47999999999999</v>
      </c>
      <c r="K37" s="21">
        <v>0.62857142857142867</v>
      </c>
      <c r="L37">
        <v>20.2632946672835</v>
      </c>
      <c r="M37">
        <v>20.313440593069799</v>
      </c>
      <c r="N37">
        <v>40.576735260353303</v>
      </c>
      <c r="O37">
        <v>0.24056222841007449</v>
      </c>
      <c r="P37">
        <v>1.80835492617199</v>
      </c>
      <c r="Q37">
        <v>2.7390070199435828</v>
      </c>
      <c r="R37">
        <v>0.16383200000000001</v>
      </c>
    </row>
    <row r="38" spans="1:18" x14ac:dyDescent="0.3">
      <c r="A38" s="14" t="s">
        <v>10</v>
      </c>
      <c r="B38" s="14" t="s">
        <v>43</v>
      </c>
      <c r="C38" s="17">
        <v>30.4</v>
      </c>
      <c r="D38" s="18">
        <v>2.5950000000000002</v>
      </c>
      <c r="E38" s="18">
        <v>3.25</v>
      </c>
      <c r="F38" s="18" t="s">
        <v>39</v>
      </c>
      <c r="G38" s="11">
        <v>93</v>
      </c>
      <c r="H38" s="17">
        <v>109.3</v>
      </c>
      <c r="I38" s="20">
        <v>28.399999618530273</v>
      </c>
      <c r="J38" s="20">
        <v>81.639999999999986</v>
      </c>
      <c r="K38" s="21">
        <v>0.55714285714285716</v>
      </c>
      <c r="L38">
        <v>20.9471728020551</v>
      </c>
      <c r="M38">
        <v>21.110710283949601</v>
      </c>
      <c r="N38">
        <v>42.057883086004701</v>
      </c>
      <c r="O38">
        <v>0.24141400867805365</v>
      </c>
      <c r="P38">
        <v>1.8147579307242696</v>
      </c>
      <c r="Q38">
        <v>2.6607635731940391</v>
      </c>
      <c r="R38">
        <v>0.16199910000000001</v>
      </c>
    </row>
    <row r="39" spans="1:18" x14ac:dyDescent="0.3">
      <c r="A39" s="14" t="s">
        <v>11</v>
      </c>
      <c r="B39" s="14" t="s">
        <v>43</v>
      </c>
      <c r="C39" s="17">
        <v>29.2</v>
      </c>
      <c r="D39" s="18">
        <v>2.5950000000000002</v>
      </c>
      <c r="E39" s="18">
        <v>3.125</v>
      </c>
      <c r="F39" s="18" t="s">
        <v>39</v>
      </c>
      <c r="G39" s="11">
        <v>93</v>
      </c>
      <c r="H39" s="17">
        <v>109.3</v>
      </c>
      <c r="I39" s="20">
        <v>27.299999237060547</v>
      </c>
      <c r="J39" s="20">
        <v>80.800003051757813</v>
      </c>
      <c r="K39" s="21">
        <v>0.58142857142857152</v>
      </c>
      <c r="L39">
        <v>21.587397934139499</v>
      </c>
      <c r="M39">
        <v>21.994236280817699</v>
      </c>
      <c r="N39">
        <v>43.581634214957198</v>
      </c>
      <c r="O39">
        <v>0.2353903970548932</v>
      </c>
      <c r="P39">
        <v>1.677495632964016</v>
      </c>
      <c r="Q39">
        <v>2.6733206316152063</v>
      </c>
      <c r="R39">
        <v>0.1602152</v>
      </c>
    </row>
    <row r="40" spans="1:18" x14ac:dyDescent="0.3">
      <c r="A40" s="14" t="s">
        <v>12</v>
      </c>
      <c r="B40" s="14" t="s">
        <v>43</v>
      </c>
      <c r="C40" s="17">
        <v>27.8</v>
      </c>
      <c r="D40" s="18">
        <v>2.5950000000000002</v>
      </c>
      <c r="E40" s="18">
        <v>3.125</v>
      </c>
      <c r="F40" s="18" t="s">
        <v>39</v>
      </c>
      <c r="G40" s="11">
        <v>91.671428571428578</v>
      </c>
      <c r="H40" s="17">
        <v>109.3</v>
      </c>
      <c r="I40" s="20">
        <v>25.799999237060547</v>
      </c>
      <c r="J40" s="20">
        <v>75.699996948242188</v>
      </c>
      <c r="K40" s="21">
        <v>0.58142857142857152</v>
      </c>
      <c r="L40">
        <v>22.145593271502801</v>
      </c>
      <c r="M40">
        <v>22.8600276884323</v>
      </c>
      <c r="N40">
        <v>45.005620959935101</v>
      </c>
      <c r="O40">
        <v>0.23027303306563032</v>
      </c>
      <c r="P40">
        <v>1.7630557214500935</v>
      </c>
      <c r="Q40">
        <v>2.7437050470165154</v>
      </c>
      <c r="R40">
        <v>0.1575269</v>
      </c>
    </row>
    <row r="41" spans="1:18" x14ac:dyDescent="0.3">
      <c r="A41" s="14" t="s">
        <v>13</v>
      </c>
      <c r="B41" s="14" t="s">
        <v>43</v>
      </c>
      <c r="C41" s="17">
        <v>27</v>
      </c>
      <c r="D41" s="18">
        <v>2.5950000000000002</v>
      </c>
      <c r="E41" s="18">
        <v>2.5</v>
      </c>
      <c r="F41" s="18" t="s">
        <v>39</v>
      </c>
      <c r="G41" s="11">
        <v>90.342857142857142</v>
      </c>
      <c r="H41" s="17">
        <v>109.3</v>
      </c>
      <c r="I41" s="20">
        <v>25</v>
      </c>
      <c r="J41" s="20">
        <v>74.900001525878906</v>
      </c>
      <c r="K41" s="21">
        <v>0.58142857142857152</v>
      </c>
      <c r="L41">
        <v>24.282385335135</v>
      </c>
      <c r="M41">
        <v>25.3602733090279</v>
      </c>
      <c r="N41">
        <v>49.6426586441629</v>
      </c>
      <c r="O41">
        <v>0.22650638630649561</v>
      </c>
      <c r="P41">
        <v>1.7596818173797621</v>
      </c>
      <c r="Q41">
        <v>2.7440022405237476</v>
      </c>
      <c r="R41">
        <v>0.155025</v>
      </c>
    </row>
    <row r="42" spans="1:18" x14ac:dyDescent="0.3">
      <c r="A42" s="14" t="s">
        <v>14</v>
      </c>
      <c r="B42" s="14" t="s">
        <v>43</v>
      </c>
      <c r="C42" s="17">
        <v>25.9</v>
      </c>
      <c r="D42" s="18">
        <v>2.5950000000000002</v>
      </c>
      <c r="E42" s="18">
        <v>2</v>
      </c>
      <c r="F42" s="18" t="s">
        <v>39</v>
      </c>
      <c r="G42" s="11">
        <v>91.671428571428578</v>
      </c>
      <c r="H42" s="17">
        <v>109.3</v>
      </c>
      <c r="I42" s="20">
        <v>24.100000381469727</v>
      </c>
      <c r="J42" s="20">
        <v>73.599998474121094</v>
      </c>
      <c r="K42" s="21">
        <v>0.58142857142857152</v>
      </c>
      <c r="L42">
        <v>25.1780661431082</v>
      </c>
      <c r="M42">
        <v>26.406906206252899</v>
      </c>
      <c r="N42">
        <v>51.584972349361095</v>
      </c>
      <c r="O42">
        <v>0.22798224806905099</v>
      </c>
      <c r="P42">
        <v>1.952869809339622</v>
      </c>
      <c r="Q42">
        <v>2.8634544940727564</v>
      </c>
      <c r="R42">
        <v>0.1521401</v>
      </c>
    </row>
    <row r="43" spans="1:18" x14ac:dyDescent="0.3">
      <c r="A43" s="14" t="s">
        <v>15</v>
      </c>
      <c r="B43" s="14" t="s">
        <v>43</v>
      </c>
      <c r="C43" s="17">
        <v>25.3</v>
      </c>
      <c r="D43" s="18">
        <v>2.5950000000000002</v>
      </c>
      <c r="E43" s="18">
        <v>2</v>
      </c>
      <c r="F43" s="18" t="s">
        <v>39</v>
      </c>
      <c r="G43" s="11">
        <v>93</v>
      </c>
      <c r="H43" s="17">
        <v>109.3</v>
      </c>
      <c r="I43" s="20">
        <v>23.200000762939453</v>
      </c>
      <c r="J43" s="20">
        <v>70.599998474121094</v>
      </c>
      <c r="K43" s="21">
        <v>0.58142857142857152</v>
      </c>
      <c r="L43">
        <v>26.406617204342801</v>
      </c>
      <c r="M43">
        <v>26.959232427603101</v>
      </c>
      <c r="N43">
        <v>53.365849631945906</v>
      </c>
      <c r="O43">
        <v>0.23038679659150113</v>
      </c>
      <c r="P43">
        <v>2.1303435811758051</v>
      </c>
      <c r="Q43">
        <v>3.0314448297389869</v>
      </c>
      <c r="R43">
        <v>0.14907049999999999</v>
      </c>
    </row>
    <row r="44" spans="1:18" x14ac:dyDescent="0.3">
      <c r="A44" s="14" t="s">
        <v>16</v>
      </c>
      <c r="B44" s="14" t="s">
        <v>43</v>
      </c>
      <c r="C44" s="17">
        <v>24.6</v>
      </c>
      <c r="D44" s="18">
        <v>2.5950000000000002</v>
      </c>
      <c r="E44" s="18">
        <v>2</v>
      </c>
      <c r="F44" s="18" t="s">
        <v>39</v>
      </c>
      <c r="G44" s="11">
        <v>93</v>
      </c>
      <c r="H44" s="17">
        <v>109.3</v>
      </c>
      <c r="I44" s="20">
        <v>22</v>
      </c>
      <c r="J44" s="20">
        <v>67.800003051757813</v>
      </c>
      <c r="K44" s="21">
        <v>0.58142857142857152</v>
      </c>
      <c r="L44">
        <v>30.678349430322999</v>
      </c>
      <c r="M44">
        <v>30.847711572289501</v>
      </c>
      <c r="N44">
        <v>61.526061002612501</v>
      </c>
      <c r="O44">
        <v>0.23114328945068655</v>
      </c>
      <c r="P44">
        <v>2.3060182369966875</v>
      </c>
      <c r="Q44">
        <v>3.0566737335040481</v>
      </c>
      <c r="R44">
        <v>0.14666680000000001</v>
      </c>
    </row>
    <row r="45" spans="1:18" x14ac:dyDescent="0.3">
      <c r="A45" s="14" t="s">
        <v>17</v>
      </c>
      <c r="B45" s="14" t="s">
        <v>43</v>
      </c>
      <c r="C45" s="17">
        <v>23.7</v>
      </c>
      <c r="D45" s="18">
        <v>2.5950000000000002</v>
      </c>
      <c r="E45" s="18">
        <v>2</v>
      </c>
      <c r="F45" s="18" t="s">
        <v>39</v>
      </c>
      <c r="G45" s="19">
        <v>93</v>
      </c>
      <c r="H45" s="17">
        <v>58</v>
      </c>
      <c r="I45" s="20">
        <v>21.399999618530273</v>
      </c>
      <c r="J45" s="20">
        <v>68.800003051757813</v>
      </c>
      <c r="K45" s="21">
        <v>0.58142857142857152</v>
      </c>
      <c r="L45">
        <v>30.218131772027199</v>
      </c>
      <c r="M45">
        <v>31.844707117015101</v>
      </c>
      <c r="N45">
        <v>62.062838889042297</v>
      </c>
      <c r="O45">
        <v>0.21778195101171041</v>
      </c>
      <c r="P45">
        <v>2.1958168772485176</v>
      </c>
      <c r="Q45">
        <v>3.1297467470603255</v>
      </c>
      <c r="R45">
        <v>0.1450864</v>
      </c>
    </row>
    <row r="46" spans="1:18" x14ac:dyDescent="0.3">
      <c r="A46" s="14" t="s">
        <v>18</v>
      </c>
      <c r="B46" s="14" t="s">
        <v>43</v>
      </c>
      <c r="C46" s="17">
        <v>23.5</v>
      </c>
      <c r="D46" s="18">
        <v>2.5950000000000002</v>
      </c>
      <c r="E46" s="18">
        <v>2</v>
      </c>
      <c r="F46" s="18" t="s">
        <v>39</v>
      </c>
      <c r="G46" s="19">
        <v>93</v>
      </c>
      <c r="H46" s="17">
        <v>58</v>
      </c>
      <c r="I46" s="20">
        <v>21.100000381469727</v>
      </c>
      <c r="J46" s="20">
        <v>67.800003051757813</v>
      </c>
      <c r="K46" s="21">
        <v>0.58142857142857152</v>
      </c>
      <c r="L46">
        <v>28.342310701872499</v>
      </c>
      <c r="M46">
        <v>32.592579113060197</v>
      </c>
      <c r="N46">
        <v>60.934889814932696</v>
      </c>
      <c r="O46">
        <v>0.20121785877858833</v>
      </c>
      <c r="P46">
        <v>1.9306043334713139</v>
      </c>
      <c r="Q46">
        <v>3.1031972758381845</v>
      </c>
      <c r="R46">
        <v>0.14371439999999999</v>
      </c>
    </row>
    <row r="47" spans="1:18" x14ac:dyDescent="0.3">
      <c r="A47" s="14" t="s">
        <v>19</v>
      </c>
      <c r="B47" s="14" t="s">
        <v>43</v>
      </c>
      <c r="C47" s="17">
        <v>23</v>
      </c>
      <c r="D47" s="18">
        <v>2.5950000000000002</v>
      </c>
      <c r="E47" s="18">
        <v>1.5</v>
      </c>
      <c r="F47" s="18" t="s">
        <v>39</v>
      </c>
      <c r="G47" s="19">
        <v>93</v>
      </c>
      <c r="H47" s="17">
        <v>58</v>
      </c>
      <c r="I47" s="20">
        <v>20.700000762939453</v>
      </c>
      <c r="J47" s="20">
        <v>67.599998474121094</v>
      </c>
      <c r="K47" s="21">
        <v>0.58142857142857152</v>
      </c>
      <c r="L47">
        <v>29.0376067680426</v>
      </c>
      <c r="M47">
        <v>32.811712946006701</v>
      </c>
      <c r="N47">
        <v>61.849319714049301</v>
      </c>
      <c r="O47">
        <v>0.19523325072200193</v>
      </c>
      <c r="P47">
        <v>1.6806160341187877</v>
      </c>
      <c r="Q47">
        <v>3.0495078178282129</v>
      </c>
      <c r="R47">
        <v>0.14295150000000001</v>
      </c>
    </row>
    <row r="48" spans="1:18" x14ac:dyDescent="0.3">
      <c r="A48" s="14" t="s">
        <v>20</v>
      </c>
      <c r="B48" s="14" t="s">
        <v>43</v>
      </c>
      <c r="C48" s="17">
        <v>22.2</v>
      </c>
      <c r="D48" s="18">
        <v>2.5950000000000002</v>
      </c>
      <c r="E48" s="18">
        <v>1</v>
      </c>
      <c r="F48" s="18" t="s">
        <v>39</v>
      </c>
      <c r="G48" s="19">
        <v>93</v>
      </c>
      <c r="H48" s="17">
        <v>58</v>
      </c>
      <c r="I48" s="20">
        <v>19.799999237060547</v>
      </c>
      <c r="J48" s="20">
        <v>65.800003051757813</v>
      </c>
      <c r="K48" s="21">
        <v>0.58142857142857152</v>
      </c>
      <c r="L48">
        <v>30.5128352456553</v>
      </c>
      <c r="M48">
        <v>35.713363859767</v>
      </c>
      <c r="N48">
        <v>66.226199105422296</v>
      </c>
      <c r="O48">
        <v>0.19091013560693187</v>
      </c>
      <c r="P48">
        <v>1.5745275180376213</v>
      </c>
      <c r="Q48">
        <v>3.0393985468474445</v>
      </c>
      <c r="R48">
        <v>0.14157690000000001</v>
      </c>
    </row>
    <row r="49" spans="1:18" x14ac:dyDescent="0.3">
      <c r="A49" s="14" t="s">
        <v>21</v>
      </c>
      <c r="B49" s="14" t="s">
        <v>43</v>
      </c>
      <c r="C49" s="17">
        <v>21.5</v>
      </c>
      <c r="D49" s="18">
        <v>2.5950000000000002</v>
      </c>
      <c r="E49" s="18">
        <v>1</v>
      </c>
      <c r="F49" s="18" t="s">
        <v>39</v>
      </c>
      <c r="G49" s="19">
        <v>93</v>
      </c>
      <c r="H49" s="17">
        <v>58</v>
      </c>
      <c r="I49" s="20">
        <v>19.600000381469727</v>
      </c>
      <c r="J49" s="20">
        <v>64.900001525878906</v>
      </c>
      <c r="K49" s="21">
        <v>0.58142857142857152</v>
      </c>
      <c r="L49">
        <v>32.859140588469202</v>
      </c>
      <c r="M49">
        <v>38.059572348152102</v>
      </c>
      <c r="N49">
        <v>70.918712936621304</v>
      </c>
      <c r="O49">
        <v>0.19076698516111998</v>
      </c>
      <c r="P49">
        <v>1.6781817141751458</v>
      </c>
      <c r="Q49">
        <v>3.0434250591193108</v>
      </c>
      <c r="R49">
        <v>0.13932169999999999</v>
      </c>
    </row>
    <row r="50" spans="1:18" x14ac:dyDescent="0.3">
      <c r="A50" s="14" t="s">
        <v>22</v>
      </c>
      <c r="B50" s="14" t="s">
        <v>43</v>
      </c>
      <c r="C50" s="17">
        <v>20.6</v>
      </c>
      <c r="D50" s="18">
        <v>2.5950000000000002</v>
      </c>
      <c r="E50" s="18">
        <v>1</v>
      </c>
      <c r="F50" s="18" t="s">
        <v>39</v>
      </c>
      <c r="G50" s="19">
        <v>93</v>
      </c>
      <c r="H50" s="17">
        <v>58</v>
      </c>
      <c r="I50" s="20">
        <v>19.100000381469727</v>
      </c>
      <c r="J50" s="20">
        <v>63.299999237060547</v>
      </c>
      <c r="K50" s="21">
        <v>0.58142857142857152</v>
      </c>
      <c r="L50">
        <v>36.016821238700601</v>
      </c>
      <c r="M50">
        <v>41.432907910845799</v>
      </c>
      <c r="N50">
        <v>77.4497291495464</v>
      </c>
      <c r="O50">
        <v>0.19802899687638098</v>
      </c>
      <c r="P50">
        <v>1.7285793343890064</v>
      </c>
      <c r="Q50">
        <v>3.0646351476625031</v>
      </c>
      <c r="R50">
        <v>0.13668230000000001</v>
      </c>
    </row>
    <row r="51" spans="1:18" x14ac:dyDescent="0.3">
      <c r="A51" s="14" t="s">
        <v>23</v>
      </c>
      <c r="B51" s="14" t="s">
        <v>43</v>
      </c>
      <c r="C51" s="17">
        <v>19.8</v>
      </c>
      <c r="D51" s="18">
        <v>2.5950000000000002</v>
      </c>
      <c r="E51" s="18">
        <v>1</v>
      </c>
      <c r="F51" s="18" t="s">
        <v>39</v>
      </c>
      <c r="G51" s="19">
        <v>92</v>
      </c>
      <c r="H51" s="17">
        <v>58</v>
      </c>
      <c r="I51" s="20">
        <v>18.399999618530273</v>
      </c>
      <c r="J51" s="20">
        <v>61.700000762939453</v>
      </c>
      <c r="K51" s="21">
        <v>0.58142857142857152</v>
      </c>
      <c r="L51">
        <v>36.551659298673798</v>
      </c>
      <c r="M51">
        <v>43.322758096457399</v>
      </c>
      <c r="N51">
        <v>79.874417395131189</v>
      </c>
      <c r="O51">
        <v>0.20056530178323281</v>
      </c>
      <c r="P51">
        <v>1.6464963695838706</v>
      </c>
      <c r="Q51">
        <v>3.0721529879806906</v>
      </c>
      <c r="R51">
        <v>0.13602210000000001</v>
      </c>
    </row>
    <row r="52" spans="1:18" x14ac:dyDescent="0.3">
      <c r="A52" s="14" t="s">
        <v>24</v>
      </c>
      <c r="B52" s="14" t="s">
        <v>43</v>
      </c>
      <c r="C52" s="17">
        <v>19</v>
      </c>
      <c r="D52" s="18">
        <v>2.5950000000000002</v>
      </c>
      <c r="E52" s="18">
        <v>1</v>
      </c>
      <c r="F52" s="18" t="s">
        <v>39</v>
      </c>
      <c r="G52" s="19">
        <v>92</v>
      </c>
      <c r="H52" s="17">
        <v>58</v>
      </c>
      <c r="I52" s="20">
        <v>17.799999237060547</v>
      </c>
      <c r="J52" s="20">
        <v>61.299999237060547</v>
      </c>
      <c r="K52" s="21">
        <v>0.58142857142857152</v>
      </c>
      <c r="L52">
        <v>37.725614473255298</v>
      </c>
      <c r="M52">
        <v>43.799190257962898</v>
      </c>
      <c r="N52">
        <v>81.524804731218197</v>
      </c>
      <c r="O52">
        <v>0.20302966046952758</v>
      </c>
      <c r="P52">
        <v>1.5807248411316333</v>
      </c>
      <c r="Q52">
        <v>3.2041751592997936</v>
      </c>
      <c r="R52">
        <v>0.1344612</v>
      </c>
    </row>
    <row r="53" spans="1:18" x14ac:dyDescent="0.3">
      <c r="A53" s="14" t="s">
        <v>25</v>
      </c>
      <c r="B53" s="14" t="s">
        <v>43</v>
      </c>
      <c r="C53" s="17">
        <v>18.8</v>
      </c>
      <c r="D53" s="18">
        <v>2.5950000000000002</v>
      </c>
      <c r="E53" s="18">
        <v>1</v>
      </c>
      <c r="F53" s="18" t="s">
        <v>39</v>
      </c>
      <c r="G53" s="19">
        <v>92</v>
      </c>
      <c r="H53" s="17">
        <v>58</v>
      </c>
      <c r="I53" s="20">
        <v>17.600000381469727</v>
      </c>
      <c r="J53" s="20">
        <v>61.700000762939453</v>
      </c>
      <c r="K53" s="21">
        <v>0.58142857142857152</v>
      </c>
      <c r="L53">
        <v>33.108805959774799</v>
      </c>
      <c r="M53">
        <v>38.119906939850303</v>
      </c>
      <c r="N53">
        <v>71.228712899625094</v>
      </c>
      <c r="O53">
        <v>0.19267539755453661</v>
      </c>
      <c r="P53">
        <v>1.4526951055350925</v>
      </c>
      <c r="Q53">
        <v>3.3926067068217205</v>
      </c>
      <c r="R53">
        <v>0.13284940000000001</v>
      </c>
    </row>
    <row r="54" spans="1:18" x14ac:dyDescent="0.3">
      <c r="A54" s="14" t="s">
        <v>26</v>
      </c>
      <c r="B54" s="14" t="s">
        <v>43</v>
      </c>
      <c r="C54" s="17">
        <v>18.899999999999999</v>
      </c>
      <c r="D54" s="18">
        <v>2.5950000000000002</v>
      </c>
      <c r="E54" s="18">
        <v>1</v>
      </c>
      <c r="F54" s="18" t="s">
        <v>39</v>
      </c>
      <c r="G54" s="19">
        <v>90</v>
      </c>
      <c r="H54" s="17">
        <v>58</v>
      </c>
      <c r="I54" s="20">
        <v>17.299999237060547</v>
      </c>
      <c r="J54" s="20">
        <v>59.799999237060547</v>
      </c>
      <c r="K54" s="21">
        <v>0.58142857142857152</v>
      </c>
      <c r="L54">
        <v>37.303150834503199</v>
      </c>
      <c r="M54">
        <v>42.565473405085001</v>
      </c>
      <c r="N54">
        <v>79.8686242395882</v>
      </c>
      <c r="O54">
        <v>0.19542505078538064</v>
      </c>
      <c r="P54">
        <v>1.4777725790710088</v>
      </c>
      <c r="Q54">
        <v>3.2684058664459701</v>
      </c>
      <c r="R54">
        <v>0.1319188</v>
      </c>
    </row>
    <row r="55" spans="1:18" x14ac:dyDescent="0.3">
      <c r="A55" s="14" t="s">
        <v>27</v>
      </c>
      <c r="B55" s="14" t="s">
        <v>43</v>
      </c>
      <c r="C55" s="17">
        <v>18.399999999999999</v>
      </c>
      <c r="D55" s="18">
        <v>2.5950000000000002</v>
      </c>
      <c r="E55" s="18">
        <v>1</v>
      </c>
      <c r="F55" s="18" t="s">
        <v>39</v>
      </c>
      <c r="G55" s="19">
        <v>90</v>
      </c>
      <c r="H55" s="17">
        <v>58</v>
      </c>
      <c r="I55" s="20">
        <v>17</v>
      </c>
      <c r="J55" s="20">
        <v>58.900001525878906</v>
      </c>
      <c r="K55" s="21">
        <v>0.58142857142857152</v>
      </c>
      <c r="L55">
        <v>40.148984986412003</v>
      </c>
      <c r="M55">
        <v>45.057136280610102</v>
      </c>
      <c r="N55">
        <v>85.206121267022098</v>
      </c>
      <c r="O55">
        <v>0.2037084751849442</v>
      </c>
      <c r="P55">
        <v>1.4830187569801734</v>
      </c>
      <c r="Q55">
        <v>3.3688872744367875</v>
      </c>
      <c r="R55">
        <v>0.13113279999999999</v>
      </c>
    </row>
    <row r="56" spans="1:18" x14ac:dyDescent="0.3">
      <c r="A56" s="14" t="s">
        <v>28</v>
      </c>
      <c r="B56" s="14" t="s">
        <v>43</v>
      </c>
      <c r="C56" s="17">
        <v>18.3</v>
      </c>
      <c r="D56" s="18">
        <v>2.5950000000000002</v>
      </c>
      <c r="E56" s="18">
        <v>1</v>
      </c>
      <c r="F56" s="18" t="s">
        <v>39</v>
      </c>
      <c r="G56" s="19">
        <v>90</v>
      </c>
      <c r="H56" s="17">
        <v>58</v>
      </c>
      <c r="I56" s="20">
        <v>16.799999237060547</v>
      </c>
      <c r="J56" s="20">
        <v>58.299999237060547</v>
      </c>
      <c r="K56" s="21">
        <v>0.58142857142857152</v>
      </c>
      <c r="L56">
        <v>40.206934735967899</v>
      </c>
      <c r="M56">
        <v>46.307120143080397</v>
      </c>
      <c r="N56">
        <v>86.514054879048302</v>
      </c>
      <c r="O56">
        <v>0.20321093077249852</v>
      </c>
      <c r="P56">
        <v>1.3464417506143169</v>
      </c>
      <c r="Q56">
        <v>3.3885426439954487</v>
      </c>
      <c r="R56">
        <v>0.12832350000000001</v>
      </c>
    </row>
    <row r="57" spans="1:18" x14ac:dyDescent="0.3">
      <c r="A57" s="14" t="s">
        <v>29</v>
      </c>
      <c r="B57" s="14" t="s">
        <v>43</v>
      </c>
      <c r="C57" s="17">
        <v>18</v>
      </c>
      <c r="D57" s="18">
        <v>2.5950000000000002</v>
      </c>
      <c r="E57" s="18">
        <v>1.125</v>
      </c>
      <c r="F57" s="18" t="s">
        <v>39</v>
      </c>
      <c r="G57" s="19">
        <v>90</v>
      </c>
      <c r="H57" s="17">
        <v>58</v>
      </c>
      <c r="I57" s="20">
        <v>16.600000381469727</v>
      </c>
      <c r="J57" s="20">
        <v>57.599998474121094</v>
      </c>
      <c r="K57" s="21">
        <v>0.58142857142857152</v>
      </c>
      <c r="L57">
        <v>39.660198836857703</v>
      </c>
      <c r="M57">
        <v>45.418677859391401</v>
      </c>
      <c r="N57">
        <v>85.078876696249097</v>
      </c>
      <c r="O57">
        <v>0.19901470829936713</v>
      </c>
      <c r="P57">
        <v>1.3104380461942773</v>
      </c>
      <c r="Q57">
        <v>3.3663542436911813</v>
      </c>
      <c r="R57">
        <v>0.1262054</v>
      </c>
    </row>
    <row r="58" spans="1:18" x14ac:dyDescent="0.3">
      <c r="A58" s="14" t="s">
        <v>30</v>
      </c>
      <c r="B58" s="14" t="s">
        <v>43</v>
      </c>
      <c r="C58" s="17">
        <v>17.7</v>
      </c>
      <c r="D58" s="18">
        <v>2.5950000000000002</v>
      </c>
      <c r="E58" s="18">
        <v>1.125</v>
      </c>
      <c r="F58" s="18" t="s">
        <v>39</v>
      </c>
      <c r="G58" s="19">
        <v>90</v>
      </c>
      <c r="H58" s="17">
        <v>58</v>
      </c>
      <c r="I58" s="20">
        <v>16.399999618530273</v>
      </c>
      <c r="J58" s="20">
        <v>57.799999237060547</v>
      </c>
      <c r="K58" s="21">
        <v>0.58142857142857152</v>
      </c>
      <c r="L58">
        <v>39.000830079626198</v>
      </c>
      <c r="M58">
        <v>45.619263312871702</v>
      </c>
      <c r="N58">
        <v>84.620093392497893</v>
      </c>
      <c r="O58">
        <v>0.2004027422320874</v>
      </c>
      <c r="P58">
        <v>1.3325339966985406</v>
      </c>
      <c r="Q58">
        <v>3.4066741116858181</v>
      </c>
      <c r="R58">
        <v>0.1245035</v>
      </c>
    </row>
    <row r="59" spans="1:18" x14ac:dyDescent="0.3">
      <c r="A59" s="14" t="s">
        <v>31</v>
      </c>
      <c r="B59" s="14" t="s">
        <v>43</v>
      </c>
      <c r="C59" s="17">
        <v>17.600000000000001</v>
      </c>
      <c r="D59" s="18">
        <v>2.5950000000000002</v>
      </c>
      <c r="E59" s="18">
        <v>1.125</v>
      </c>
      <c r="F59" s="18">
        <v>0.42499999999999999</v>
      </c>
      <c r="G59" s="19">
        <v>90</v>
      </c>
      <c r="H59" s="17">
        <v>58</v>
      </c>
      <c r="I59" s="20">
        <v>16.200000762939453</v>
      </c>
      <c r="J59" s="20">
        <v>56.799999237060547</v>
      </c>
      <c r="K59" s="21">
        <v>0.58142857142857152</v>
      </c>
      <c r="L59">
        <v>39.325486256600698</v>
      </c>
      <c r="M59">
        <v>46.920738356607998</v>
      </c>
      <c r="N59">
        <v>86.246224613208696</v>
      </c>
      <c r="O59">
        <v>0.20019826962265647</v>
      </c>
      <c r="P59">
        <v>1.4258239750820974</v>
      </c>
      <c r="Q59">
        <v>3.545625175080743</v>
      </c>
      <c r="R59">
        <v>0.12227449999999999</v>
      </c>
    </row>
    <row r="60" spans="1:18" x14ac:dyDescent="0.3">
      <c r="A60" s="14" t="s">
        <v>32</v>
      </c>
      <c r="B60" s="14" t="s">
        <v>43</v>
      </c>
      <c r="C60" s="17">
        <v>17</v>
      </c>
      <c r="D60" s="18">
        <v>2.5950000000000002</v>
      </c>
      <c r="E60" s="18">
        <v>1.125</v>
      </c>
      <c r="F60" s="18">
        <v>0.41799999999999998</v>
      </c>
      <c r="G60" s="19">
        <v>90</v>
      </c>
      <c r="H60" s="17">
        <v>58</v>
      </c>
      <c r="I60" s="20">
        <v>15.899999618530273</v>
      </c>
      <c r="J60" s="20">
        <v>56</v>
      </c>
      <c r="K60" s="21">
        <v>0.58142857142857152</v>
      </c>
      <c r="L60">
        <v>38.6963831131131</v>
      </c>
      <c r="M60">
        <v>46.073262854335603</v>
      </c>
      <c r="N60">
        <v>84.769645967448696</v>
      </c>
      <c r="O60">
        <v>0.20298302260973433</v>
      </c>
      <c r="P60">
        <v>1.4015835450599943</v>
      </c>
      <c r="Q60">
        <v>3.6408123178645631</v>
      </c>
      <c r="R60">
        <v>0.1199548</v>
      </c>
    </row>
    <row r="61" spans="1:18" x14ac:dyDescent="0.3">
      <c r="A61" s="14" t="s">
        <v>33</v>
      </c>
      <c r="B61" s="14" t="s">
        <v>43</v>
      </c>
      <c r="C61" s="17">
        <v>16.7</v>
      </c>
      <c r="D61" s="18">
        <v>2.5950000000000002</v>
      </c>
      <c r="E61" s="18">
        <v>1.125</v>
      </c>
      <c r="F61" s="18">
        <v>0.42699999999999999</v>
      </c>
      <c r="G61" s="19">
        <v>90</v>
      </c>
      <c r="H61" s="17">
        <v>58</v>
      </c>
      <c r="I61" s="20">
        <v>15.600000381469727</v>
      </c>
      <c r="J61" s="20">
        <v>55</v>
      </c>
      <c r="K61" s="21">
        <v>0.58142857142857152</v>
      </c>
      <c r="L61" s="17" t="s">
        <v>39</v>
      </c>
      <c r="M61" t="s">
        <v>39</v>
      </c>
      <c r="N61">
        <v>84.769645967448696</v>
      </c>
      <c r="O61">
        <v>0.20429251571244433</v>
      </c>
      <c r="P61">
        <v>1.4189566428858609</v>
      </c>
      <c r="Q61">
        <v>3.683961889429455</v>
      </c>
      <c r="R61">
        <v>0.11795</v>
      </c>
    </row>
    <row r="62" spans="1:18" x14ac:dyDescent="0.3">
      <c r="A62" s="14" t="s">
        <v>34</v>
      </c>
      <c r="B62" s="14" t="s">
        <v>43</v>
      </c>
      <c r="C62" s="17">
        <v>16.5</v>
      </c>
      <c r="D62" s="18">
        <v>2.5950000000000002</v>
      </c>
      <c r="E62" s="18">
        <v>1.375</v>
      </c>
      <c r="F62" s="18">
        <v>0.42099999999999999</v>
      </c>
      <c r="G62" s="19">
        <v>90</v>
      </c>
      <c r="H62" s="17">
        <v>58</v>
      </c>
      <c r="I62" s="20">
        <v>15.399999618530273</v>
      </c>
      <c r="J62" s="20">
        <v>54</v>
      </c>
      <c r="K62" s="21">
        <v>0.58142857142857152</v>
      </c>
      <c r="L62" s="17" t="s">
        <v>39</v>
      </c>
      <c r="M62" t="s">
        <v>39</v>
      </c>
      <c r="N62">
        <v>84.769645967448696</v>
      </c>
      <c r="O62">
        <v>0.21131298028302153</v>
      </c>
      <c r="P62">
        <v>1.4418977422410786</v>
      </c>
      <c r="Q62">
        <v>3.8281080090778072</v>
      </c>
      <c r="R62" t="s">
        <v>39</v>
      </c>
    </row>
    <row r="63" spans="1:18" x14ac:dyDescent="0.3">
      <c r="A63" s="14">
        <v>2019</v>
      </c>
      <c r="B63" s="14" t="s">
        <v>43</v>
      </c>
      <c r="C63" s="17">
        <v>16.5</v>
      </c>
      <c r="D63" s="18">
        <v>2.5950000000000002</v>
      </c>
      <c r="E63" s="18">
        <v>1.375</v>
      </c>
      <c r="F63" s="18">
        <v>0.42599999999999999</v>
      </c>
      <c r="G63" s="19">
        <v>90</v>
      </c>
      <c r="H63" s="17">
        <v>58</v>
      </c>
      <c r="I63" s="20">
        <v>15.100000381469727</v>
      </c>
      <c r="J63" s="20">
        <v>52</v>
      </c>
      <c r="K63" s="21">
        <v>0.58142857142857152</v>
      </c>
      <c r="L63" s="17" t="s">
        <v>39</v>
      </c>
      <c r="M63" t="s">
        <v>39</v>
      </c>
      <c r="N63">
        <v>84.769645967448696</v>
      </c>
      <c r="O63">
        <v>0.21686725329989387</v>
      </c>
      <c r="P63">
        <v>1.4147083979533073</v>
      </c>
      <c r="Q63">
        <v>3.882083472229322</v>
      </c>
      <c r="R63" t="s">
        <v>39</v>
      </c>
    </row>
    <row r="64" spans="1:18" x14ac:dyDescent="0.3">
      <c r="A64" s="14" t="s">
        <v>5</v>
      </c>
      <c r="B64" s="2" t="s">
        <v>44</v>
      </c>
      <c r="C64" s="17">
        <v>41.1</v>
      </c>
      <c r="D64" s="18">
        <v>1.345</v>
      </c>
      <c r="E64" s="18">
        <v>0.25</v>
      </c>
      <c r="F64" s="18" t="s">
        <v>39</v>
      </c>
      <c r="G64" s="11">
        <v>55.066666666666663</v>
      </c>
      <c r="H64" s="17">
        <v>18</v>
      </c>
      <c r="I64" s="20">
        <v>40.400001525878906</v>
      </c>
      <c r="J64" s="20">
        <v>61.399999999999984</v>
      </c>
      <c r="K64" s="21">
        <v>0</v>
      </c>
      <c r="L64">
        <v>26.044851080960601</v>
      </c>
      <c r="M64">
        <v>22.390880484412499</v>
      </c>
      <c r="N64">
        <v>48.435731565373104</v>
      </c>
      <c r="O64">
        <v>0.25422438622505228</v>
      </c>
      <c r="P64">
        <v>4.3333601339970924</v>
      </c>
      <c r="Q64">
        <v>4.4304217553506522</v>
      </c>
      <c r="R64" t="s">
        <v>39</v>
      </c>
    </row>
    <row r="65" spans="1:18" x14ac:dyDescent="0.3">
      <c r="A65" s="14" t="s">
        <v>6</v>
      </c>
      <c r="B65" s="2" t="s">
        <v>44</v>
      </c>
      <c r="C65" s="17">
        <v>39.6</v>
      </c>
      <c r="D65" s="18">
        <v>1.345</v>
      </c>
      <c r="E65" s="18">
        <v>0.25</v>
      </c>
      <c r="F65" s="18" t="s">
        <v>39</v>
      </c>
      <c r="G65" s="11">
        <v>59</v>
      </c>
      <c r="H65" s="17">
        <v>18</v>
      </c>
      <c r="I65" s="20">
        <v>38.900001525878906</v>
      </c>
      <c r="J65" s="20">
        <v>58</v>
      </c>
      <c r="K65" s="21">
        <v>0</v>
      </c>
      <c r="L65">
        <v>24.928657098672801</v>
      </c>
      <c r="M65">
        <v>23.0719006506603</v>
      </c>
      <c r="N65">
        <v>48.000557749333097</v>
      </c>
      <c r="O65">
        <v>0.23502648246243221</v>
      </c>
      <c r="P65">
        <v>4.006123899674531</v>
      </c>
      <c r="Q65">
        <v>5.49759927132708</v>
      </c>
      <c r="R65" t="s">
        <v>39</v>
      </c>
    </row>
    <row r="66" spans="1:18" x14ac:dyDescent="0.3">
      <c r="A66" s="14" t="s">
        <v>7</v>
      </c>
      <c r="B66" s="2" t="s">
        <v>44</v>
      </c>
      <c r="C66" s="17">
        <v>39.799999999999997</v>
      </c>
      <c r="D66" s="18">
        <v>1.345</v>
      </c>
      <c r="E66" s="18">
        <v>0.25</v>
      </c>
      <c r="F66" s="18" t="s">
        <v>39</v>
      </c>
      <c r="G66" s="11">
        <v>62.93333333333333</v>
      </c>
      <c r="H66" s="17">
        <v>18</v>
      </c>
      <c r="I66" s="20">
        <v>39.099998474121094</v>
      </c>
      <c r="J66" s="20">
        <v>56.233333333333334</v>
      </c>
      <c r="K66" s="21">
        <v>0</v>
      </c>
      <c r="L66">
        <v>22.727825165814799</v>
      </c>
      <c r="M66">
        <v>22.345928597545399</v>
      </c>
      <c r="N66">
        <v>45.073753763360202</v>
      </c>
      <c r="O66">
        <v>0.20677861952267795</v>
      </c>
      <c r="P66">
        <v>3.5246273565955235</v>
      </c>
      <c r="Q66">
        <v>5.5743005401815973</v>
      </c>
      <c r="R66">
        <v>0.2603974</v>
      </c>
    </row>
    <row r="67" spans="1:18" x14ac:dyDescent="0.3">
      <c r="A67" s="14" t="s">
        <v>8</v>
      </c>
      <c r="B67" s="2" t="s">
        <v>44</v>
      </c>
      <c r="C67" s="17">
        <v>39.5</v>
      </c>
      <c r="D67" s="18">
        <v>1.345</v>
      </c>
      <c r="E67" s="18">
        <v>0.25</v>
      </c>
      <c r="F67" s="18" t="s">
        <v>39</v>
      </c>
      <c r="G67" s="11">
        <v>60.966666666666669</v>
      </c>
      <c r="H67" s="17">
        <v>18</v>
      </c>
      <c r="I67" s="20">
        <v>38.700000762939453</v>
      </c>
      <c r="J67" s="20">
        <v>54.466666666666669</v>
      </c>
      <c r="K67" s="21">
        <v>0</v>
      </c>
      <c r="L67">
        <v>23.390363317879299</v>
      </c>
      <c r="M67">
        <v>22.6702788526988</v>
      </c>
      <c r="N67">
        <v>46.060642170578099</v>
      </c>
      <c r="O67">
        <v>0.19307477362489797</v>
      </c>
      <c r="P67">
        <v>3.2910396179145072</v>
      </c>
      <c r="Q67">
        <v>5.2516599867098703</v>
      </c>
      <c r="R67">
        <v>0.25709729999999997</v>
      </c>
    </row>
    <row r="68" spans="1:18" x14ac:dyDescent="0.3">
      <c r="A68" s="14" t="s">
        <v>9</v>
      </c>
      <c r="B68" s="2" t="s">
        <v>44</v>
      </c>
      <c r="C68" s="17">
        <v>37.5</v>
      </c>
      <c r="D68" s="18">
        <v>1.345</v>
      </c>
      <c r="E68" s="18">
        <v>0.25</v>
      </c>
      <c r="F68" s="18" t="s">
        <v>39</v>
      </c>
      <c r="G68" s="11">
        <v>59</v>
      </c>
      <c r="H68" s="17">
        <v>18</v>
      </c>
      <c r="I68" s="20">
        <v>36.700000762939453</v>
      </c>
      <c r="J68" s="20">
        <v>52.700000762939453</v>
      </c>
      <c r="K68" s="21">
        <v>0</v>
      </c>
      <c r="L68">
        <v>24.924730555003499</v>
      </c>
      <c r="M68">
        <v>24.557599658002101</v>
      </c>
      <c r="N68">
        <v>49.482330213005596</v>
      </c>
      <c r="O68">
        <v>0.18443837961785225</v>
      </c>
      <c r="P68">
        <v>3.1438286990591728</v>
      </c>
      <c r="Q68">
        <v>4.9464858333617423</v>
      </c>
      <c r="R68">
        <v>0.25291809999999998</v>
      </c>
    </row>
    <row r="69" spans="1:18" x14ac:dyDescent="0.3">
      <c r="A69" s="14" t="s">
        <v>10</v>
      </c>
      <c r="B69" s="2" t="s">
        <v>44</v>
      </c>
      <c r="C69" s="17">
        <v>36.200000000000003</v>
      </c>
      <c r="D69" s="18">
        <v>1.345</v>
      </c>
      <c r="E69" s="18">
        <v>0.25</v>
      </c>
      <c r="F69" s="18" t="s">
        <v>39</v>
      </c>
      <c r="G69" s="11">
        <v>59</v>
      </c>
      <c r="H69" s="17">
        <v>18</v>
      </c>
      <c r="I69" s="20">
        <v>35.5</v>
      </c>
      <c r="J69" s="20">
        <v>50.933334096272787</v>
      </c>
      <c r="K69" s="21">
        <v>0</v>
      </c>
      <c r="L69">
        <v>25.8170019452986</v>
      </c>
      <c r="M69">
        <v>25.789776913706302</v>
      </c>
      <c r="N69">
        <v>51.606778859004905</v>
      </c>
      <c r="O69">
        <v>0.18869091540029467</v>
      </c>
      <c r="P69">
        <v>3.2163149357324672</v>
      </c>
      <c r="Q69">
        <v>4.883067899074585</v>
      </c>
      <c r="R69">
        <v>0.24710579999999999</v>
      </c>
    </row>
    <row r="70" spans="1:18" x14ac:dyDescent="0.3">
      <c r="A70" s="14" t="s">
        <v>11</v>
      </c>
      <c r="B70" s="2" t="s">
        <v>44</v>
      </c>
      <c r="C70" s="17">
        <v>33.9</v>
      </c>
      <c r="D70" s="18">
        <v>1.345</v>
      </c>
      <c r="E70" s="18">
        <v>0.25</v>
      </c>
      <c r="F70" s="18" t="s">
        <v>39</v>
      </c>
      <c r="G70" s="11">
        <v>59</v>
      </c>
      <c r="H70" s="17">
        <v>18</v>
      </c>
      <c r="I70" s="20">
        <v>33.5</v>
      </c>
      <c r="J70" s="20">
        <v>50</v>
      </c>
      <c r="K70" s="21">
        <v>0</v>
      </c>
      <c r="L70">
        <v>25.282028179881699</v>
      </c>
      <c r="M70">
        <v>25.5545583822739</v>
      </c>
      <c r="N70">
        <v>50.836586562155603</v>
      </c>
      <c r="O70">
        <v>0.18031925003196878</v>
      </c>
      <c r="P70">
        <v>3.0418228650764165</v>
      </c>
      <c r="Q70">
        <v>4.6571259626400927</v>
      </c>
      <c r="R70">
        <v>0.2393084</v>
      </c>
    </row>
    <row r="71" spans="1:18" x14ac:dyDescent="0.3">
      <c r="A71" s="14" t="s">
        <v>12</v>
      </c>
      <c r="B71" s="2" t="s">
        <v>44</v>
      </c>
      <c r="C71" s="17">
        <v>32.6</v>
      </c>
      <c r="D71" s="18">
        <v>1.345</v>
      </c>
      <c r="E71" s="18">
        <v>0.25</v>
      </c>
      <c r="F71" s="18" t="s">
        <v>39</v>
      </c>
      <c r="G71" s="11">
        <v>60.966666666666669</v>
      </c>
      <c r="H71" s="17">
        <v>18</v>
      </c>
      <c r="I71" s="20">
        <v>32.200000762939453</v>
      </c>
      <c r="J71" s="20">
        <v>50</v>
      </c>
      <c r="K71" s="21">
        <v>0</v>
      </c>
      <c r="L71">
        <v>25.9820449372565</v>
      </c>
      <c r="M71">
        <v>26.150132541209</v>
      </c>
      <c r="N71">
        <v>52.132177478465501</v>
      </c>
      <c r="O71">
        <v>0.18575719343645844</v>
      </c>
      <c r="P71">
        <v>3.139545779615676</v>
      </c>
      <c r="Q71">
        <v>4.6784566831051366</v>
      </c>
      <c r="R71">
        <v>0.23149220000000001</v>
      </c>
    </row>
    <row r="72" spans="1:18" x14ac:dyDescent="0.3">
      <c r="A72" s="14" t="s">
        <v>13</v>
      </c>
      <c r="B72" s="2" t="s">
        <v>44</v>
      </c>
      <c r="C72" s="17">
        <v>31.4</v>
      </c>
      <c r="D72" s="18">
        <v>1.345</v>
      </c>
      <c r="E72" s="18">
        <v>0.25</v>
      </c>
      <c r="F72" s="18" t="s">
        <v>39</v>
      </c>
      <c r="G72" s="11">
        <v>62.93333333333333</v>
      </c>
      <c r="H72" s="17">
        <v>18</v>
      </c>
      <c r="I72" s="20">
        <v>31.100000381469727</v>
      </c>
      <c r="J72" s="20">
        <v>50</v>
      </c>
      <c r="K72" s="21">
        <v>0</v>
      </c>
      <c r="L72">
        <v>25.116784869976399</v>
      </c>
      <c r="M72">
        <v>25.5640661938534</v>
      </c>
      <c r="N72">
        <v>50.680851063829799</v>
      </c>
      <c r="O72">
        <v>0.17109850293413623</v>
      </c>
      <c r="P72">
        <v>2.9712634651010066</v>
      </c>
      <c r="Q72">
        <v>3.3396375132867324</v>
      </c>
      <c r="R72">
        <v>0.2242952</v>
      </c>
    </row>
    <row r="73" spans="1:18" x14ac:dyDescent="0.3">
      <c r="A73" s="14" t="s">
        <v>14</v>
      </c>
      <c r="B73" s="2" t="s">
        <v>44</v>
      </c>
      <c r="C73" s="17">
        <v>30.1</v>
      </c>
      <c r="D73" s="18">
        <v>1.345</v>
      </c>
      <c r="E73" s="18">
        <v>0.25</v>
      </c>
      <c r="F73" s="18" t="s">
        <v>39</v>
      </c>
      <c r="G73" s="11">
        <v>60.966666666666669</v>
      </c>
      <c r="H73" s="17">
        <v>18</v>
      </c>
      <c r="I73" s="20">
        <v>30.100000381469727</v>
      </c>
      <c r="J73" s="20">
        <v>50</v>
      </c>
      <c r="K73" s="21">
        <v>0.15714285714285717</v>
      </c>
      <c r="L73">
        <v>24.826346933106802</v>
      </c>
      <c r="M73">
        <v>24.149884632393</v>
      </c>
      <c r="N73">
        <v>48.976231565499802</v>
      </c>
      <c r="O73">
        <v>0.17607874478943047</v>
      </c>
      <c r="P73">
        <v>3.168522943754581</v>
      </c>
      <c r="Q73">
        <v>3.5186869452607197</v>
      </c>
      <c r="R73">
        <v>0.21685470000000001</v>
      </c>
    </row>
    <row r="74" spans="1:18" x14ac:dyDescent="0.3">
      <c r="A74" s="14" t="s">
        <v>15</v>
      </c>
      <c r="B74" s="2" t="s">
        <v>44</v>
      </c>
      <c r="C74" s="17">
        <v>30</v>
      </c>
      <c r="D74" s="18">
        <v>1.345</v>
      </c>
      <c r="E74" s="18">
        <v>0.25</v>
      </c>
      <c r="F74" s="18">
        <v>0.35499999999999998</v>
      </c>
      <c r="G74" s="11">
        <v>59</v>
      </c>
      <c r="H74" s="17">
        <v>18</v>
      </c>
      <c r="I74" s="20">
        <v>29.700000762939453</v>
      </c>
      <c r="J74" s="20">
        <v>50</v>
      </c>
      <c r="K74" s="21">
        <v>0.18142857142857144</v>
      </c>
      <c r="L74">
        <v>25.368837953665899</v>
      </c>
      <c r="M74">
        <v>23.935130685009501</v>
      </c>
      <c r="N74">
        <v>49.3039686386754</v>
      </c>
      <c r="O74">
        <v>0.17563995990770709</v>
      </c>
      <c r="P74">
        <v>3.1558486953661662</v>
      </c>
      <c r="Q74">
        <v>3.4452446275990227</v>
      </c>
      <c r="R74">
        <v>0.20988299999999999</v>
      </c>
    </row>
    <row r="75" spans="1:18" x14ac:dyDescent="0.3">
      <c r="A75" s="14" t="s">
        <v>16</v>
      </c>
      <c r="B75" s="2" t="s">
        <v>44</v>
      </c>
      <c r="C75" s="17">
        <v>29.7</v>
      </c>
      <c r="D75" s="18">
        <v>1.5109999999999999</v>
      </c>
      <c r="E75" s="18">
        <v>0.25</v>
      </c>
      <c r="F75" s="18">
        <v>0.34</v>
      </c>
      <c r="G75" s="11">
        <v>59</v>
      </c>
      <c r="H75" s="17">
        <v>18</v>
      </c>
      <c r="I75" s="20">
        <v>29.799999237060547</v>
      </c>
      <c r="J75" s="20">
        <v>50</v>
      </c>
      <c r="K75" s="21">
        <v>0.18142857142857144</v>
      </c>
      <c r="L75">
        <v>26.9812939136783</v>
      </c>
      <c r="M75">
        <v>25.197007026188501</v>
      </c>
      <c r="N75">
        <v>52.178300939866801</v>
      </c>
      <c r="O75">
        <v>0.17891595952070946</v>
      </c>
      <c r="P75">
        <v>3.5099917882654483</v>
      </c>
      <c r="Q75">
        <v>3.4749520948558468</v>
      </c>
      <c r="R75">
        <v>0.20419809999999999</v>
      </c>
    </row>
    <row r="76" spans="1:18" x14ac:dyDescent="0.3">
      <c r="A76" s="14" t="s">
        <v>17</v>
      </c>
      <c r="B76" s="2" t="s">
        <v>44</v>
      </c>
      <c r="C76" s="17">
        <v>29</v>
      </c>
      <c r="D76" s="18">
        <v>1.5109999999999999</v>
      </c>
      <c r="E76" s="18">
        <v>0.25</v>
      </c>
      <c r="F76" s="18">
        <v>0.33</v>
      </c>
      <c r="G76" s="19">
        <v>59</v>
      </c>
      <c r="H76" s="17">
        <v>18</v>
      </c>
      <c r="I76" s="20">
        <v>29.299999237060547</v>
      </c>
      <c r="J76" s="20">
        <v>50</v>
      </c>
      <c r="K76" s="21">
        <v>0.18142857142857144</v>
      </c>
      <c r="L76">
        <v>27.470297573295301</v>
      </c>
      <c r="M76">
        <v>25.193894806193001</v>
      </c>
      <c r="N76">
        <v>52.664192379488298</v>
      </c>
      <c r="O76">
        <v>0.17850971794559561</v>
      </c>
      <c r="P76">
        <v>3.1904249504535098</v>
      </c>
      <c r="Q76">
        <v>3.4028329884004891</v>
      </c>
      <c r="R76">
        <v>0.19869819999999999</v>
      </c>
    </row>
    <row r="77" spans="1:18" x14ac:dyDescent="0.3">
      <c r="A77" s="14" t="s">
        <v>18</v>
      </c>
      <c r="B77" s="2" t="s">
        <v>44</v>
      </c>
      <c r="C77" s="17">
        <v>28.7</v>
      </c>
      <c r="D77" s="18">
        <v>1.5109999999999999</v>
      </c>
      <c r="E77" s="18">
        <v>0.25</v>
      </c>
      <c r="F77" s="18">
        <v>0.34799999999999998</v>
      </c>
      <c r="G77" s="19">
        <v>59</v>
      </c>
      <c r="H77" s="17">
        <v>18</v>
      </c>
      <c r="I77" s="20">
        <v>28.799999237060547</v>
      </c>
      <c r="J77" s="20">
        <v>50</v>
      </c>
      <c r="K77" s="21">
        <v>0.18142857142857144</v>
      </c>
      <c r="L77">
        <v>26.9132613324734</v>
      </c>
      <c r="M77">
        <v>24.225564150341299</v>
      </c>
      <c r="N77">
        <v>51.138825482814696</v>
      </c>
      <c r="O77">
        <v>0.17749612491423331</v>
      </c>
      <c r="P77">
        <v>3.0041989767606512</v>
      </c>
      <c r="Q77">
        <v>3.3953005531915301</v>
      </c>
      <c r="R77">
        <v>0.1935867</v>
      </c>
    </row>
    <row r="78" spans="1:18" x14ac:dyDescent="0.3">
      <c r="A78" s="14" t="s">
        <v>19</v>
      </c>
      <c r="B78" s="2" t="s">
        <v>44</v>
      </c>
      <c r="C78" s="17">
        <v>28.5</v>
      </c>
      <c r="D78" s="18">
        <v>1.5109999999999999</v>
      </c>
      <c r="E78" s="18">
        <v>0.375</v>
      </c>
      <c r="F78" s="18">
        <v>0.34499999999999997</v>
      </c>
      <c r="G78" s="19">
        <v>59</v>
      </c>
      <c r="H78" s="17">
        <v>26</v>
      </c>
      <c r="I78" s="20">
        <v>29.299999237060547</v>
      </c>
      <c r="J78" s="20">
        <v>50</v>
      </c>
      <c r="K78" s="21">
        <v>0.18142857142857144</v>
      </c>
      <c r="L78">
        <v>26.163042474534102</v>
      </c>
      <c r="M78">
        <v>23.925160883562</v>
      </c>
      <c r="N78">
        <v>50.088203358096102</v>
      </c>
      <c r="O78">
        <v>0.17359583092022216</v>
      </c>
      <c r="P78">
        <v>2.7331100078342079</v>
      </c>
      <c r="Q78">
        <v>3.4450257390566836</v>
      </c>
      <c r="R78">
        <v>0.188975</v>
      </c>
    </row>
    <row r="79" spans="1:18" x14ac:dyDescent="0.3">
      <c r="A79" s="14" t="s">
        <v>20</v>
      </c>
      <c r="B79" s="2" t="s">
        <v>44</v>
      </c>
      <c r="C79" s="17">
        <v>27.6</v>
      </c>
      <c r="D79" s="18">
        <v>1.5109999999999999</v>
      </c>
      <c r="E79" s="18">
        <v>0.375</v>
      </c>
      <c r="F79" s="18">
        <v>0.35599999999999998</v>
      </c>
      <c r="G79" s="19">
        <v>59</v>
      </c>
      <c r="H79" s="17">
        <v>26</v>
      </c>
      <c r="I79" s="20">
        <v>28.799999237060547</v>
      </c>
      <c r="J79" s="20">
        <v>50</v>
      </c>
      <c r="K79" s="21">
        <v>0.18142857142857144</v>
      </c>
      <c r="L79">
        <v>26.359454070297399</v>
      </c>
      <c r="M79">
        <v>23.794364758220201</v>
      </c>
      <c r="N79">
        <v>50.153818828517601</v>
      </c>
      <c r="O79">
        <v>0.17210402776932399</v>
      </c>
      <c r="P79">
        <v>2.5512748440427488</v>
      </c>
      <c r="Q79">
        <v>3.3640515615843789</v>
      </c>
      <c r="R79">
        <v>0.1842954</v>
      </c>
    </row>
    <row r="80" spans="1:18" x14ac:dyDescent="0.3">
      <c r="A80" s="14" t="s">
        <v>21</v>
      </c>
      <c r="B80" s="2" t="s">
        <v>44</v>
      </c>
      <c r="C80" s="17">
        <v>27</v>
      </c>
      <c r="D80" s="18">
        <v>1.5109999999999999</v>
      </c>
      <c r="E80" s="18">
        <v>0.375</v>
      </c>
      <c r="F80" s="18">
        <v>0.36899999999999999</v>
      </c>
      <c r="G80" s="19">
        <v>59</v>
      </c>
      <c r="H80" s="17">
        <v>26</v>
      </c>
      <c r="I80" s="20">
        <v>28.600000381469727</v>
      </c>
      <c r="J80" s="20">
        <v>50.299999237060547</v>
      </c>
      <c r="K80" s="21">
        <v>0.18142857142857144</v>
      </c>
      <c r="L80">
        <v>27.4978141299807</v>
      </c>
      <c r="M80">
        <v>25.060694683131398</v>
      </c>
      <c r="N80">
        <v>52.558508813112098</v>
      </c>
      <c r="O80">
        <v>0.1728423778613557</v>
      </c>
      <c r="P80">
        <v>2.4195319906539634</v>
      </c>
      <c r="Q80">
        <v>3.4034965358518345</v>
      </c>
      <c r="R80">
        <v>0.17969579999999999</v>
      </c>
    </row>
    <row r="81" spans="1:18" x14ac:dyDescent="0.3">
      <c r="A81" s="14" t="s">
        <v>22</v>
      </c>
      <c r="B81" s="2" t="s">
        <v>44</v>
      </c>
      <c r="C81" s="17">
        <v>27.2</v>
      </c>
      <c r="D81" s="18">
        <v>1.5109999999999999</v>
      </c>
      <c r="E81" s="18">
        <v>0.375</v>
      </c>
      <c r="F81" s="18">
        <v>0.371</v>
      </c>
      <c r="G81" s="19">
        <v>59</v>
      </c>
      <c r="H81" s="17">
        <v>26</v>
      </c>
      <c r="I81" s="20">
        <v>28.299999237060547</v>
      </c>
      <c r="J81" s="20">
        <v>50.700000762939453</v>
      </c>
      <c r="K81" s="21">
        <v>0.18142857142857144</v>
      </c>
      <c r="L81">
        <v>29.400857675735502</v>
      </c>
      <c r="M81">
        <v>27.276590565566899</v>
      </c>
      <c r="N81">
        <v>56.6774482413024</v>
      </c>
      <c r="O81">
        <v>0.17563382271321062</v>
      </c>
      <c r="P81">
        <v>2.4402350153128842</v>
      </c>
      <c r="Q81">
        <v>3.3119854996207994</v>
      </c>
      <c r="R81">
        <v>0.1763702</v>
      </c>
    </row>
    <row r="82" spans="1:18" x14ac:dyDescent="0.3">
      <c r="A82" s="14" t="s">
        <v>23</v>
      </c>
      <c r="B82" s="2" t="s">
        <v>44</v>
      </c>
      <c r="C82" s="17">
        <v>27.2</v>
      </c>
      <c r="D82" s="18">
        <v>1.5109999999999999</v>
      </c>
      <c r="E82" s="18">
        <v>0.375</v>
      </c>
      <c r="F82" s="18">
        <v>0.38200000000000001</v>
      </c>
      <c r="G82" s="19">
        <v>59</v>
      </c>
      <c r="H82" s="17">
        <v>39</v>
      </c>
      <c r="I82" s="20">
        <v>28</v>
      </c>
      <c r="J82" s="20">
        <v>49.700000762939453</v>
      </c>
      <c r="K82" s="21">
        <v>0.18142857142857144</v>
      </c>
      <c r="L82">
        <v>27.405090923202799</v>
      </c>
      <c r="M82">
        <v>25.361412858930802</v>
      </c>
      <c r="N82">
        <v>52.766503782133597</v>
      </c>
      <c r="O82">
        <v>0.17896946162698771</v>
      </c>
      <c r="P82">
        <v>2.3732847812733757</v>
      </c>
      <c r="Q82">
        <v>3.3668265337912975</v>
      </c>
      <c r="R82">
        <v>0.1754259</v>
      </c>
    </row>
    <row r="83" spans="1:18" x14ac:dyDescent="0.3">
      <c r="A83" s="14" t="s">
        <v>24</v>
      </c>
      <c r="B83" s="2" t="s">
        <v>44</v>
      </c>
      <c r="C83" s="17">
        <v>27</v>
      </c>
      <c r="D83" s="18">
        <v>1.5109999999999999</v>
      </c>
      <c r="E83" s="18">
        <v>0.375</v>
      </c>
      <c r="F83" s="18">
        <v>0.377</v>
      </c>
      <c r="G83" s="19">
        <v>59</v>
      </c>
      <c r="H83" s="17">
        <v>39</v>
      </c>
      <c r="I83" s="20">
        <v>27.5</v>
      </c>
      <c r="J83" s="20">
        <v>49.700000762939453</v>
      </c>
      <c r="K83" s="21">
        <v>0.19999999999999998</v>
      </c>
      <c r="L83">
        <v>29.229156481102201</v>
      </c>
      <c r="M83">
        <v>27.0465040625851</v>
      </c>
      <c r="N83">
        <v>56.275660543687302</v>
      </c>
      <c r="O83">
        <v>0.17469273433217045</v>
      </c>
      <c r="P83">
        <v>2.2529367482002618</v>
      </c>
      <c r="Q83">
        <v>3.5417134686761096</v>
      </c>
      <c r="R83">
        <v>0.17462449999999999</v>
      </c>
    </row>
    <row r="84" spans="1:18" x14ac:dyDescent="0.3">
      <c r="A84" s="14" t="s">
        <v>25</v>
      </c>
      <c r="B84" s="2" t="s">
        <v>44</v>
      </c>
      <c r="C84" s="17">
        <v>27</v>
      </c>
      <c r="D84" s="18">
        <v>1.5109999999999999</v>
      </c>
      <c r="E84" s="18">
        <v>0.375</v>
      </c>
      <c r="F84" s="18">
        <v>0.38</v>
      </c>
      <c r="G84" s="19">
        <v>59</v>
      </c>
      <c r="H84" s="17">
        <v>39</v>
      </c>
      <c r="I84" s="20">
        <v>27.399999618530273</v>
      </c>
      <c r="J84" s="20">
        <v>49.299999237060547</v>
      </c>
      <c r="K84" s="21">
        <v>0.21857142857142858</v>
      </c>
      <c r="L84">
        <v>28.002477215238098</v>
      </c>
      <c r="M84">
        <v>26.396355729658101</v>
      </c>
      <c r="N84">
        <v>54.398832944896199</v>
      </c>
      <c r="O84">
        <v>0.1606973915213758</v>
      </c>
      <c r="P84">
        <v>2.2424093292885607</v>
      </c>
      <c r="Q84">
        <v>3.6722972272584893</v>
      </c>
      <c r="R84">
        <v>0.1741983</v>
      </c>
    </row>
    <row r="85" spans="1:18" x14ac:dyDescent="0.3">
      <c r="A85" s="14" t="s">
        <v>26</v>
      </c>
      <c r="B85" s="2" t="s">
        <v>44</v>
      </c>
      <c r="C85" s="17">
        <v>26.8</v>
      </c>
      <c r="D85" s="18">
        <v>1.5109999999999999</v>
      </c>
      <c r="E85" s="18">
        <v>0.375</v>
      </c>
      <c r="F85" s="18">
        <v>0.379</v>
      </c>
      <c r="G85" s="19">
        <v>59</v>
      </c>
      <c r="H85" s="17">
        <v>39</v>
      </c>
      <c r="I85" s="20">
        <v>26.600000381469727</v>
      </c>
      <c r="J85" s="20">
        <v>47.900001525878906</v>
      </c>
      <c r="K85" s="21">
        <v>0.21857142857142858</v>
      </c>
      <c r="L85">
        <v>30.1879109130793</v>
      </c>
      <c r="M85">
        <v>28.2500231938815</v>
      </c>
      <c r="N85">
        <v>58.437934106960796</v>
      </c>
      <c r="O85">
        <v>0.15977689032393602</v>
      </c>
      <c r="P85">
        <v>2.3569964873472418</v>
      </c>
      <c r="Q85">
        <v>3.7880434115481627</v>
      </c>
      <c r="R85">
        <v>0.174044</v>
      </c>
    </row>
    <row r="86" spans="1:18" x14ac:dyDescent="0.3">
      <c r="A86" s="14" t="s">
        <v>27</v>
      </c>
      <c r="B86" s="2" t="s">
        <v>44</v>
      </c>
      <c r="C86" s="17">
        <v>26.5</v>
      </c>
      <c r="D86" s="18">
        <v>1.5109999999999999</v>
      </c>
      <c r="E86" s="18">
        <v>0.375</v>
      </c>
      <c r="F86" s="18">
        <v>0.38400000000000001</v>
      </c>
      <c r="G86" s="19">
        <v>59</v>
      </c>
      <c r="H86" s="17">
        <v>39</v>
      </c>
      <c r="I86" s="20">
        <v>26</v>
      </c>
      <c r="J86" s="20">
        <v>47.200000762939453</v>
      </c>
      <c r="K86" s="21">
        <v>0.21857142857142858</v>
      </c>
      <c r="L86">
        <v>31.667611365540601</v>
      </c>
      <c r="M86">
        <v>30.71365624968</v>
      </c>
      <c r="N86">
        <v>62.381267615220601</v>
      </c>
      <c r="O86">
        <v>0.15595121134467807</v>
      </c>
      <c r="P86">
        <v>2.402988661369887</v>
      </c>
      <c r="Q86">
        <v>3.8105799440232726</v>
      </c>
      <c r="R86">
        <v>0.1731386</v>
      </c>
    </row>
    <row r="87" spans="1:18" x14ac:dyDescent="0.3">
      <c r="A87" s="14" t="s">
        <v>28</v>
      </c>
      <c r="B87" s="2" t="s">
        <v>44</v>
      </c>
      <c r="C87" s="17">
        <v>26.1</v>
      </c>
      <c r="D87" s="18">
        <v>1.5109999999999999</v>
      </c>
      <c r="E87" s="18">
        <v>0.375</v>
      </c>
      <c r="F87" s="18">
        <v>0.39</v>
      </c>
      <c r="G87" s="19">
        <v>58</v>
      </c>
      <c r="H87" s="17">
        <v>39</v>
      </c>
      <c r="I87" s="20">
        <v>26.100000381469727</v>
      </c>
      <c r="J87" s="20">
        <v>45.200000762939453</v>
      </c>
      <c r="K87" s="21">
        <v>0.21857142857142858</v>
      </c>
      <c r="L87">
        <v>31.225398271964099</v>
      </c>
      <c r="M87">
        <v>29.987498320451898</v>
      </c>
      <c r="N87">
        <v>61.212896592416001</v>
      </c>
      <c r="O87">
        <v>0.15713793334083725</v>
      </c>
      <c r="P87">
        <v>2.4587415379536108</v>
      </c>
      <c r="Q87">
        <v>3.8051256908051903</v>
      </c>
      <c r="R87">
        <v>0.16975199999999999</v>
      </c>
    </row>
    <row r="88" spans="1:18" x14ac:dyDescent="0.3">
      <c r="A88" s="14" t="s">
        <v>29</v>
      </c>
      <c r="B88" s="2" t="s">
        <v>44</v>
      </c>
      <c r="C88" s="17">
        <v>25.4</v>
      </c>
      <c r="D88" s="18">
        <v>1.345</v>
      </c>
      <c r="E88" s="18">
        <v>0.375</v>
      </c>
      <c r="F88" s="18">
        <v>0.38900000000000001</v>
      </c>
      <c r="G88" s="19">
        <v>58</v>
      </c>
      <c r="H88" s="17">
        <v>39</v>
      </c>
      <c r="I88" s="20">
        <v>25.600000381469727</v>
      </c>
      <c r="J88" s="20">
        <v>44.700000762939453</v>
      </c>
      <c r="K88" s="21">
        <v>0.21857142857142858</v>
      </c>
      <c r="L88">
        <v>31.274770605099299</v>
      </c>
      <c r="M88">
        <v>29.870204276046799</v>
      </c>
      <c r="N88">
        <v>61.144974881146098</v>
      </c>
      <c r="O88">
        <v>0.15956538552381722</v>
      </c>
      <c r="P88">
        <v>2.5383410789942404</v>
      </c>
      <c r="Q88">
        <v>3.8611250937386448</v>
      </c>
      <c r="R88">
        <v>0.16626009999999999</v>
      </c>
    </row>
    <row r="89" spans="1:18" x14ac:dyDescent="0.3">
      <c r="A89" s="14" t="s">
        <v>30</v>
      </c>
      <c r="B89" s="2" t="s">
        <v>44</v>
      </c>
      <c r="C89" s="17">
        <v>25</v>
      </c>
      <c r="D89" s="18">
        <v>1.345</v>
      </c>
      <c r="E89" s="18">
        <v>0.375</v>
      </c>
      <c r="F89" s="18">
        <v>0.39800000000000002</v>
      </c>
      <c r="G89" s="19">
        <v>58</v>
      </c>
      <c r="H89" s="17">
        <v>39</v>
      </c>
      <c r="I89" s="20">
        <v>25</v>
      </c>
      <c r="J89" s="20">
        <v>42.900001525878906</v>
      </c>
      <c r="K89" s="21">
        <v>0.21857142857142858</v>
      </c>
      <c r="L89">
        <v>29.750650560813501</v>
      </c>
      <c r="M89">
        <v>28.197624486851399</v>
      </c>
      <c r="N89">
        <v>57.9482750476649</v>
      </c>
      <c r="O89">
        <v>0.16628377343195738</v>
      </c>
      <c r="P89">
        <v>2.5289209722369037</v>
      </c>
      <c r="Q89">
        <v>3.7924689555636557</v>
      </c>
      <c r="R89">
        <v>0.16259170000000001</v>
      </c>
    </row>
    <row r="90" spans="1:18" x14ac:dyDescent="0.3">
      <c r="A90" s="14" t="s">
        <v>31</v>
      </c>
      <c r="B90" s="2" t="s">
        <v>44</v>
      </c>
      <c r="C90" s="17">
        <v>24.2</v>
      </c>
      <c r="D90" s="18">
        <v>1.345</v>
      </c>
      <c r="E90" s="18">
        <v>0.375</v>
      </c>
      <c r="F90" s="18">
        <v>0.40500000000000003</v>
      </c>
      <c r="G90" s="19">
        <v>59</v>
      </c>
      <c r="H90" s="17">
        <v>39</v>
      </c>
      <c r="I90" s="20">
        <v>24.700000762939453</v>
      </c>
      <c r="J90" s="20">
        <v>41.599998474121094</v>
      </c>
      <c r="K90" s="21">
        <v>0.21857142857142858</v>
      </c>
      <c r="L90">
        <v>28.7365189637021</v>
      </c>
      <c r="M90">
        <v>27.263743585389101</v>
      </c>
      <c r="N90">
        <v>56.000262549091204</v>
      </c>
      <c r="O90">
        <v>0.17232753405537585</v>
      </c>
      <c r="P90">
        <v>2.4697326203996193</v>
      </c>
      <c r="Q90">
        <v>3.7686213180803687</v>
      </c>
      <c r="R90">
        <v>0.1588145</v>
      </c>
    </row>
    <row r="91" spans="1:18" x14ac:dyDescent="0.3">
      <c r="A91" s="14" t="s">
        <v>32</v>
      </c>
      <c r="B91" s="2" t="s">
        <v>44</v>
      </c>
      <c r="C91" s="17">
        <v>23.7</v>
      </c>
      <c r="D91" s="18">
        <v>1.345</v>
      </c>
      <c r="E91" s="18">
        <v>0.375</v>
      </c>
      <c r="F91" s="18">
        <v>0.437</v>
      </c>
      <c r="G91" s="19">
        <v>58</v>
      </c>
      <c r="H91" s="17">
        <v>39</v>
      </c>
      <c r="I91" s="20">
        <v>23.5</v>
      </c>
      <c r="J91" s="20">
        <v>41.700000762939453</v>
      </c>
      <c r="K91" s="21">
        <v>0.21857142857142858</v>
      </c>
      <c r="L91">
        <v>30.047495578309</v>
      </c>
      <c r="M91">
        <v>28.2370587834234</v>
      </c>
      <c r="N91">
        <v>58.284554361732404</v>
      </c>
      <c r="O91">
        <v>0.17707719214363798</v>
      </c>
      <c r="P91">
        <v>2.4018003607997138</v>
      </c>
      <c r="Q91">
        <v>3.8170923933142049</v>
      </c>
      <c r="R91">
        <v>0.1552181</v>
      </c>
    </row>
    <row r="92" spans="1:18" x14ac:dyDescent="0.3">
      <c r="A92" s="14" t="s">
        <v>33</v>
      </c>
      <c r="B92" s="2" t="s">
        <v>44</v>
      </c>
      <c r="C92" s="17">
        <v>23.2</v>
      </c>
      <c r="D92" s="18">
        <v>1.345</v>
      </c>
      <c r="E92" s="18">
        <v>0.375</v>
      </c>
      <c r="F92" s="18">
        <v>0.443</v>
      </c>
      <c r="G92" s="19">
        <v>58</v>
      </c>
      <c r="H92" s="17">
        <v>39</v>
      </c>
      <c r="I92" s="20">
        <v>23.299999237060547</v>
      </c>
      <c r="J92" s="20">
        <v>39.599998474121094</v>
      </c>
      <c r="K92" s="21">
        <v>0.21857142857142858</v>
      </c>
      <c r="L92" s="17" t="s">
        <v>39</v>
      </c>
      <c r="M92" t="s">
        <v>39</v>
      </c>
      <c r="N92">
        <v>58.284554361732404</v>
      </c>
      <c r="O92">
        <v>0.17997908890499861</v>
      </c>
      <c r="P92">
        <v>2.4644750448476151</v>
      </c>
      <c r="Q92">
        <v>3.7938723593658765</v>
      </c>
      <c r="R92" t="s">
        <v>39</v>
      </c>
    </row>
    <row r="93" spans="1:18" x14ac:dyDescent="0.3">
      <c r="A93" s="14" t="s">
        <v>34</v>
      </c>
      <c r="B93" s="2" t="s">
        <v>44</v>
      </c>
      <c r="C93" s="17">
        <v>23.4</v>
      </c>
      <c r="D93" s="18">
        <v>1.345</v>
      </c>
      <c r="E93" s="18">
        <v>0.375</v>
      </c>
      <c r="F93" s="18">
        <v>0.44700000000000001</v>
      </c>
      <c r="G93" s="19">
        <v>58</v>
      </c>
      <c r="H93" s="17">
        <v>39</v>
      </c>
      <c r="I93" s="20">
        <v>23.399999618530273</v>
      </c>
      <c r="J93" s="20">
        <v>39.200000762939453</v>
      </c>
      <c r="K93" s="21">
        <v>0.21857142857142858</v>
      </c>
      <c r="L93" s="17" t="s">
        <v>39</v>
      </c>
      <c r="M93" t="s">
        <v>39</v>
      </c>
      <c r="N93">
        <v>58.284554361732404</v>
      </c>
      <c r="O93">
        <v>0.17800468034862221</v>
      </c>
      <c r="P93">
        <v>2.5727054750490557</v>
      </c>
      <c r="Q93">
        <v>3.8192784393395511</v>
      </c>
      <c r="R93" t="s">
        <v>39</v>
      </c>
    </row>
    <row r="94" spans="1:18" x14ac:dyDescent="0.3">
      <c r="A94" s="14">
        <v>2019</v>
      </c>
      <c r="B94" s="2" t="s">
        <v>44</v>
      </c>
      <c r="C94" s="17">
        <v>23.4</v>
      </c>
      <c r="D94" s="18">
        <v>1.345</v>
      </c>
      <c r="E94" s="18">
        <v>0.375</v>
      </c>
      <c r="F94" s="18">
        <v>0.45600000000000002</v>
      </c>
      <c r="G94" s="19">
        <v>58</v>
      </c>
      <c r="H94" s="17">
        <v>39</v>
      </c>
      <c r="I94" s="20">
        <v>23.5</v>
      </c>
      <c r="J94" s="20">
        <v>39.200000762939453</v>
      </c>
      <c r="K94" s="21">
        <v>0.21857142857142858</v>
      </c>
      <c r="L94" s="17" t="s">
        <v>39</v>
      </c>
      <c r="M94" t="s">
        <v>39</v>
      </c>
      <c r="N94">
        <v>58.284554361732404</v>
      </c>
      <c r="O94">
        <v>0.18039959146067544</v>
      </c>
      <c r="P94">
        <v>2.5674212265557634</v>
      </c>
      <c r="Q94">
        <v>3.8524414721345304</v>
      </c>
      <c r="R94" t="s">
        <v>39</v>
      </c>
    </row>
    <row r="95" spans="1:18" x14ac:dyDescent="0.3">
      <c r="A95" s="14" t="s">
        <v>5</v>
      </c>
      <c r="B95" s="2" t="s">
        <v>45</v>
      </c>
      <c r="C95" s="17">
        <v>15.9</v>
      </c>
      <c r="D95" s="18">
        <v>9.2999999999999999E-2</v>
      </c>
      <c r="E95" s="18">
        <v>0.25</v>
      </c>
      <c r="F95" s="18">
        <v>0.28499999999999998</v>
      </c>
      <c r="G95" s="11">
        <v>58.46</v>
      </c>
      <c r="H95" s="17">
        <v>0</v>
      </c>
      <c r="I95" s="20">
        <v>16.399999618530273</v>
      </c>
      <c r="J95" s="20">
        <v>18.600000381469727</v>
      </c>
      <c r="K95" s="21">
        <v>0.16714285714285712</v>
      </c>
      <c r="L95">
        <v>10.4763381889471</v>
      </c>
      <c r="M95">
        <v>8.9387901970724499</v>
      </c>
      <c r="N95">
        <v>19.41512838601955</v>
      </c>
      <c r="O95">
        <v>0.22022926201525106</v>
      </c>
      <c r="P95">
        <v>2.6165365021855616</v>
      </c>
      <c r="Q95">
        <v>4.21695695177592</v>
      </c>
      <c r="R95">
        <v>0.3519138</v>
      </c>
    </row>
    <row r="96" spans="1:18" x14ac:dyDescent="0.3">
      <c r="A96" s="14" t="s">
        <v>6</v>
      </c>
      <c r="B96" s="2" t="s">
        <v>45</v>
      </c>
      <c r="C96" s="17">
        <v>15.5</v>
      </c>
      <c r="D96" s="18">
        <v>9.2999999999999999E-2</v>
      </c>
      <c r="E96" s="18">
        <v>0.25</v>
      </c>
      <c r="F96" s="18">
        <v>0.29899999999999999</v>
      </c>
      <c r="G96" s="11">
        <v>56.09</v>
      </c>
      <c r="H96" s="17">
        <v>0</v>
      </c>
      <c r="I96" s="20">
        <v>16</v>
      </c>
      <c r="J96" s="20">
        <v>18.200000762939453</v>
      </c>
      <c r="K96" s="21">
        <v>0.16714285714285712</v>
      </c>
      <c r="L96">
        <v>10.560318516540899</v>
      </c>
      <c r="M96">
        <v>9.2547320675133804</v>
      </c>
      <c r="N96">
        <v>19.81505058405428</v>
      </c>
      <c r="O96">
        <v>0.21285281723869154</v>
      </c>
      <c r="P96">
        <v>2.5310976894068005</v>
      </c>
      <c r="Q96">
        <v>4.2854910094406593</v>
      </c>
      <c r="R96">
        <v>0.34302280000000002</v>
      </c>
    </row>
    <row r="97" spans="1:18" x14ac:dyDescent="0.3">
      <c r="A97" s="14" t="s">
        <v>7</v>
      </c>
      <c r="B97" s="2" t="s">
        <v>45</v>
      </c>
      <c r="C97" s="17">
        <v>15.5</v>
      </c>
      <c r="D97" s="18">
        <v>9.2999999999999999E-2</v>
      </c>
      <c r="E97" s="18">
        <v>0.25</v>
      </c>
      <c r="F97" s="18">
        <v>0.32300000000000001</v>
      </c>
      <c r="G97" s="11">
        <v>53.72</v>
      </c>
      <c r="H97" s="17">
        <v>0</v>
      </c>
      <c r="I97" s="20">
        <v>16</v>
      </c>
      <c r="J97" s="20">
        <v>18.100000381469727</v>
      </c>
      <c r="K97" s="21">
        <v>0.16714285714285712</v>
      </c>
      <c r="L97">
        <v>10.125543001778601</v>
      </c>
      <c r="M97">
        <v>9.6609051223188107</v>
      </c>
      <c r="N97">
        <v>19.786448124097411</v>
      </c>
      <c r="O97">
        <v>0.20117019308949197</v>
      </c>
      <c r="P97">
        <v>2.4902693659064354</v>
      </c>
      <c r="Q97">
        <v>4.3933311562651491</v>
      </c>
      <c r="R97">
        <v>0.3351963</v>
      </c>
    </row>
    <row r="98" spans="1:18" x14ac:dyDescent="0.3">
      <c r="A98" s="14" t="s">
        <v>8</v>
      </c>
      <c r="B98" s="2" t="s">
        <v>45</v>
      </c>
      <c r="C98" s="17">
        <v>15.2</v>
      </c>
      <c r="D98" s="18">
        <v>9.2999999999999999E-2</v>
      </c>
      <c r="E98" s="18">
        <v>0.25</v>
      </c>
      <c r="F98" s="18">
        <v>0.32200000000000001</v>
      </c>
      <c r="G98" s="11">
        <v>66.36</v>
      </c>
      <c r="H98" s="17">
        <v>0</v>
      </c>
      <c r="I98" s="20">
        <v>15.699999809265137</v>
      </c>
      <c r="J98" s="20">
        <v>17.700000762939453</v>
      </c>
      <c r="K98" s="21">
        <v>0.16714285714285712</v>
      </c>
      <c r="L98">
        <v>10.2416795967442</v>
      </c>
      <c r="M98">
        <v>9.7089149056481396</v>
      </c>
      <c r="N98">
        <v>19.950594502392342</v>
      </c>
      <c r="O98">
        <v>0.19827165109970712</v>
      </c>
      <c r="P98">
        <v>2.5436761070418643</v>
      </c>
      <c r="Q98">
        <v>4.2831287449233661</v>
      </c>
      <c r="R98">
        <v>0.32721240000000001</v>
      </c>
    </row>
    <row r="99" spans="1:18" x14ac:dyDescent="0.3">
      <c r="A99" s="14" t="s">
        <v>9</v>
      </c>
      <c r="B99" s="2" t="s">
        <v>45</v>
      </c>
      <c r="C99" s="17">
        <v>15.2</v>
      </c>
      <c r="D99" s="18">
        <v>9.2999999999999999E-2</v>
      </c>
      <c r="E99" s="18">
        <v>0.25</v>
      </c>
      <c r="F99" s="18">
        <v>0.312</v>
      </c>
      <c r="G99" s="11">
        <v>79</v>
      </c>
      <c r="H99" s="17">
        <v>0</v>
      </c>
      <c r="I99" s="20">
        <v>15.699999809265137</v>
      </c>
      <c r="J99" s="20">
        <v>17.600000381469727</v>
      </c>
      <c r="K99" s="21">
        <v>0.16714285714285712</v>
      </c>
      <c r="L99">
        <v>10.497438310292299</v>
      </c>
      <c r="M99">
        <v>9.5471803916828595</v>
      </c>
      <c r="N99">
        <v>20.04461870197516</v>
      </c>
      <c r="O99">
        <v>0.20090153048184028</v>
      </c>
      <c r="P99">
        <v>2.6102421806096583</v>
      </c>
      <c r="Q99">
        <v>4.2036526914764387</v>
      </c>
      <c r="R99">
        <v>0.31893159999999998</v>
      </c>
    </row>
    <row r="100" spans="1:18" x14ac:dyDescent="0.3">
      <c r="A100" s="14" t="s">
        <v>10</v>
      </c>
      <c r="B100" s="2" t="s">
        <v>45</v>
      </c>
      <c r="C100" s="17">
        <v>14.9</v>
      </c>
      <c r="D100" s="18">
        <v>9.2999999999999999E-2</v>
      </c>
      <c r="E100" s="18">
        <v>0.25</v>
      </c>
      <c r="F100" s="18">
        <v>0.28599999999999998</v>
      </c>
      <c r="G100" s="11">
        <v>79</v>
      </c>
      <c r="H100" s="17">
        <v>0</v>
      </c>
      <c r="I100" s="20">
        <v>15.5</v>
      </c>
      <c r="J100" s="20">
        <v>17.5</v>
      </c>
      <c r="K100" s="21">
        <v>0.16714285714285712</v>
      </c>
      <c r="L100">
        <v>11.162311746182001</v>
      </c>
      <c r="M100">
        <v>9.8931474155633197</v>
      </c>
      <c r="N100">
        <v>21.055459161745318</v>
      </c>
      <c r="O100">
        <v>0.20403799190804306</v>
      </c>
      <c r="P100">
        <v>2.6689817648282497</v>
      </c>
      <c r="Q100">
        <v>4.0857603623651091</v>
      </c>
      <c r="R100">
        <v>0.3085833</v>
      </c>
    </row>
    <row r="101" spans="1:18" x14ac:dyDescent="0.3">
      <c r="A101" s="14" t="s">
        <v>11</v>
      </c>
      <c r="B101" s="2" t="s">
        <v>45</v>
      </c>
      <c r="C101" s="17">
        <v>14.3</v>
      </c>
      <c r="D101" s="18">
        <v>9.2999999999999999E-2</v>
      </c>
      <c r="E101" s="18">
        <v>0.25</v>
      </c>
      <c r="F101" s="18">
        <v>0.28699999999999998</v>
      </c>
      <c r="G101" s="11">
        <v>79</v>
      </c>
      <c r="H101" s="17">
        <v>0</v>
      </c>
      <c r="I101" s="20">
        <v>14.899999618530273</v>
      </c>
      <c r="J101" s="20">
        <v>16.700000762939453</v>
      </c>
      <c r="K101" s="21">
        <v>0.16714285714285712</v>
      </c>
      <c r="L101">
        <v>11.8141577687958</v>
      </c>
      <c r="M101">
        <v>10.639223880261</v>
      </c>
      <c r="N101">
        <v>22.453381649056801</v>
      </c>
      <c r="O101">
        <v>0.2086459908565059</v>
      </c>
      <c r="P101">
        <v>2.8885373066575895</v>
      </c>
      <c r="Q101">
        <v>4.2003081514850917</v>
      </c>
      <c r="R101">
        <v>0.29802580000000001</v>
      </c>
    </row>
    <row r="102" spans="1:18" x14ac:dyDescent="0.3">
      <c r="A102" s="14" t="s">
        <v>12</v>
      </c>
      <c r="B102" s="2" t="s">
        <v>45</v>
      </c>
      <c r="C102" s="17">
        <v>14</v>
      </c>
      <c r="D102" s="18">
        <v>9.2999999999999999E-2</v>
      </c>
      <c r="E102" s="18">
        <v>0.25</v>
      </c>
      <c r="F102" s="18">
        <v>0.28699999999999998</v>
      </c>
      <c r="G102" s="11">
        <v>79</v>
      </c>
      <c r="H102" s="17">
        <v>0</v>
      </c>
      <c r="I102" s="20">
        <v>14.5</v>
      </c>
      <c r="J102" s="20">
        <v>16.200000762939453</v>
      </c>
      <c r="K102" s="21">
        <v>0.16714285714285712</v>
      </c>
      <c r="L102">
        <v>11.9404364259576</v>
      </c>
      <c r="M102">
        <v>10.746635564283601</v>
      </c>
      <c r="N102">
        <v>22.687071990241201</v>
      </c>
      <c r="O102">
        <v>0.21320302108651398</v>
      </c>
      <c r="P102">
        <v>3.0356409825096167</v>
      </c>
      <c r="Q102">
        <v>4.320447529468777</v>
      </c>
      <c r="R102">
        <v>0.28687259999999998</v>
      </c>
    </row>
    <row r="103" spans="1:18" x14ac:dyDescent="0.3">
      <c r="A103" s="14" t="s">
        <v>13</v>
      </c>
      <c r="B103" s="2" t="s">
        <v>45</v>
      </c>
      <c r="C103" s="17">
        <v>13.6</v>
      </c>
      <c r="D103" s="18">
        <v>9.2999999999999999E-2</v>
      </c>
      <c r="E103" s="18">
        <v>0.25</v>
      </c>
      <c r="F103" s="18">
        <v>0.307</v>
      </c>
      <c r="G103" s="11">
        <v>79</v>
      </c>
      <c r="H103" s="17">
        <v>0</v>
      </c>
      <c r="I103" s="20">
        <v>14.100000381469727</v>
      </c>
      <c r="J103" s="20">
        <v>15.600000381469727</v>
      </c>
      <c r="K103" s="21">
        <v>0.16714285714285712</v>
      </c>
      <c r="L103">
        <v>12.3085700908604</v>
      </c>
      <c r="M103">
        <v>11.1197577117574</v>
      </c>
      <c r="N103">
        <v>23.428327802617801</v>
      </c>
      <c r="O103">
        <v>0.21582836221803145</v>
      </c>
      <c r="P103">
        <v>3.3132296953722919</v>
      </c>
      <c r="Q103">
        <v>4.5036392667744733</v>
      </c>
      <c r="R103">
        <v>0.27570650000000002</v>
      </c>
    </row>
    <row r="104" spans="1:18" x14ac:dyDescent="0.3">
      <c r="A104" s="14" t="s">
        <v>14</v>
      </c>
      <c r="B104" s="2" t="s">
        <v>45</v>
      </c>
      <c r="C104" s="17">
        <v>13.4</v>
      </c>
      <c r="D104" s="18">
        <v>9.2999999999999999E-2</v>
      </c>
      <c r="E104" s="18">
        <v>0.25</v>
      </c>
      <c r="F104" s="18">
        <v>0.309</v>
      </c>
      <c r="G104" s="11">
        <v>79</v>
      </c>
      <c r="H104" s="17">
        <v>0</v>
      </c>
      <c r="I104" s="20">
        <v>13.899999618530273</v>
      </c>
      <c r="J104" s="20">
        <v>15.399999618530273</v>
      </c>
      <c r="K104" s="21">
        <v>0.16714285714285712</v>
      </c>
      <c r="L104">
        <v>12.310631451567399</v>
      </c>
      <c r="M104">
        <v>10.515262528196301</v>
      </c>
      <c r="N104">
        <v>22.825893979763698</v>
      </c>
      <c r="O104">
        <v>0.22255254629989771</v>
      </c>
      <c r="P104">
        <v>3.4846450060726104</v>
      </c>
      <c r="Q104">
        <v>4.6389770421271939</v>
      </c>
      <c r="R104">
        <v>0.26431080000000001</v>
      </c>
    </row>
    <row r="105" spans="1:18" x14ac:dyDescent="0.3">
      <c r="A105" s="14" t="s">
        <v>15</v>
      </c>
      <c r="B105" s="2" t="s">
        <v>45</v>
      </c>
      <c r="C105" s="17">
        <v>13.4</v>
      </c>
      <c r="D105" s="18">
        <v>9.2999999999999999E-2</v>
      </c>
      <c r="E105" s="18">
        <v>0.25</v>
      </c>
      <c r="F105" s="18">
        <v>0.29599999999999999</v>
      </c>
      <c r="G105" s="11">
        <v>79</v>
      </c>
      <c r="H105" s="17">
        <v>0</v>
      </c>
      <c r="I105" s="20">
        <v>13.899999618530273</v>
      </c>
      <c r="J105" s="20">
        <v>15.300000190734863</v>
      </c>
      <c r="K105" s="21">
        <v>0.16714285714285712</v>
      </c>
      <c r="L105">
        <v>12.9649640943723</v>
      </c>
      <c r="M105">
        <v>10.3085114700826</v>
      </c>
      <c r="N105">
        <v>23.273475564454898</v>
      </c>
      <c r="O105">
        <v>0.2278888795091262</v>
      </c>
      <c r="P105">
        <v>3.8134446195448883</v>
      </c>
      <c r="Q105">
        <v>4.897492519466204</v>
      </c>
      <c r="R105">
        <v>0.25491599999999998</v>
      </c>
    </row>
    <row r="106" spans="1:18" x14ac:dyDescent="0.3">
      <c r="A106" s="14" t="s">
        <v>16</v>
      </c>
      <c r="B106" s="2" t="s">
        <v>45</v>
      </c>
      <c r="C106" s="17">
        <v>12.9</v>
      </c>
      <c r="D106" s="18">
        <v>9.2999999999999999E-2</v>
      </c>
      <c r="E106" s="18">
        <v>0.25</v>
      </c>
      <c r="F106" s="18">
        <v>0.28499999999999998</v>
      </c>
      <c r="G106" s="11">
        <v>79</v>
      </c>
      <c r="H106" s="17">
        <v>0</v>
      </c>
      <c r="I106" s="20">
        <v>13.399999618530273</v>
      </c>
      <c r="J106" s="20">
        <v>14.899999618530273</v>
      </c>
      <c r="K106" s="21">
        <v>0.16714285714285712</v>
      </c>
      <c r="L106">
        <v>14.350909113786299</v>
      </c>
      <c r="M106">
        <v>10.692722359085201</v>
      </c>
      <c r="N106">
        <v>25.0436314728715</v>
      </c>
      <c r="O106">
        <v>0.23143130055976452</v>
      </c>
      <c r="P106">
        <v>4.0922044484058251</v>
      </c>
      <c r="Q106">
        <v>5.115784707638162</v>
      </c>
      <c r="R106">
        <v>0.24712990000000001</v>
      </c>
    </row>
    <row r="107" spans="1:18" x14ac:dyDescent="0.3">
      <c r="A107" s="14" t="s">
        <v>17</v>
      </c>
      <c r="B107" s="2" t="s">
        <v>45</v>
      </c>
      <c r="C107" s="17">
        <v>12.9</v>
      </c>
      <c r="D107" s="18">
        <v>9.2999999999999999E-2</v>
      </c>
      <c r="E107" s="18">
        <v>0.25</v>
      </c>
      <c r="F107" s="18">
        <v>0.27</v>
      </c>
      <c r="G107" s="19">
        <v>79</v>
      </c>
      <c r="H107" s="17">
        <v>0</v>
      </c>
      <c r="I107" s="20">
        <v>13.300000190734863</v>
      </c>
      <c r="J107" s="20">
        <v>14.699999809265137</v>
      </c>
      <c r="K107" s="21">
        <v>0.16714285714285712</v>
      </c>
      <c r="L107">
        <v>13.159973773892601</v>
      </c>
      <c r="M107">
        <v>9.6829827604357703</v>
      </c>
      <c r="N107">
        <v>22.842956534328373</v>
      </c>
      <c r="O107">
        <v>0.22538736712826959</v>
      </c>
      <c r="P107">
        <v>3.6810484999653164</v>
      </c>
      <c r="Q107">
        <v>5.053203503139633</v>
      </c>
      <c r="R107">
        <v>0.24027609999999999</v>
      </c>
    </row>
    <row r="108" spans="1:18" x14ac:dyDescent="0.3">
      <c r="A108" s="14" t="s">
        <v>18</v>
      </c>
      <c r="B108" s="2" t="s">
        <v>45</v>
      </c>
      <c r="C108" s="17">
        <v>12.8</v>
      </c>
      <c r="D108" s="18">
        <v>9.2999999999999999E-2</v>
      </c>
      <c r="E108" s="18">
        <v>0.25</v>
      </c>
      <c r="F108" s="18">
        <v>0.26200000000000001</v>
      </c>
      <c r="G108" s="19">
        <v>78</v>
      </c>
      <c r="H108" s="17">
        <v>0</v>
      </c>
      <c r="I108" s="20">
        <v>13.300000190734863</v>
      </c>
      <c r="J108" s="20">
        <v>14.5</v>
      </c>
      <c r="K108" s="21">
        <v>0.16714285714285712</v>
      </c>
      <c r="L108">
        <v>13.0220242130467</v>
      </c>
      <c r="M108">
        <v>9.1322497000388996</v>
      </c>
      <c r="N108">
        <v>22.1542739130856</v>
      </c>
      <c r="O108">
        <v>0.21525503140059205</v>
      </c>
      <c r="P108">
        <v>3.2028768468798394</v>
      </c>
      <c r="Q108">
        <v>4.8768435880925578</v>
      </c>
      <c r="R108">
        <v>0.2339464</v>
      </c>
    </row>
    <row r="109" spans="1:18" x14ac:dyDescent="0.3">
      <c r="A109" s="14" t="s">
        <v>19</v>
      </c>
      <c r="B109" s="2" t="s">
        <v>45</v>
      </c>
      <c r="C109" s="17">
        <v>12.4</v>
      </c>
      <c r="D109" s="18">
        <v>9.2999999999999999E-2</v>
      </c>
      <c r="E109" s="18">
        <v>0.25</v>
      </c>
      <c r="F109" s="18">
        <v>0.25700000000000001</v>
      </c>
      <c r="G109" s="19">
        <v>81</v>
      </c>
      <c r="H109" s="17">
        <v>0</v>
      </c>
      <c r="I109" s="20">
        <v>12.899999618530273</v>
      </c>
      <c r="J109" s="20">
        <v>14.300000190734863</v>
      </c>
      <c r="K109" s="21">
        <v>0.16714285714285712</v>
      </c>
      <c r="L109">
        <v>13.4340282099023</v>
      </c>
      <c r="M109">
        <v>9.0430681973488802</v>
      </c>
      <c r="N109">
        <v>22.477096407251182</v>
      </c>
      <c r="O109">
        <v>0.21619216414100378</v>
      </c>
      <c r="P109">
        <v>3.0711506804793749</v>
      </c>
      <c r="Q109">
        <v>4.839091428129576</v>
      </c>
      <c r="R109">
        <v>0.2279883</v>
      </c>
    </row>
    <row r="110" spans="1:18" x14ac:dyDescent="0.3">
      <c r="A110" s="14" t="s">
        <v>20</v>
      </c>
      <c r="B110" s="2" t="s">
        <v>45</v>
      </c>
      <c r="C110" s="17">
        <v>12</v>
      </c>
      <c r="D110" s="18">
        <v>9.2999999999999999E-2</v>
      </c>
      <c r="E110" s="18">
        <v>0.25</v>
      </c>
      <c r="F110" s="18">
        <v>0.249</v>
      </c>
      <c r="G110" s="19">
        <v>81</v>
      </c>
      <c r="H110" s="17">
        <v>0</v>
      </c>
      <c r="I110" s="20">
        <v>12.5</v>
      </c>
      <c r="J110" s="20">
        <v>13.800000190734863</v>
      </c>
      <c r="K110" s="21">
        <v>0.16714285714285712</v>
      </c>
      <c r="L110">
        <v>14.7105429709024</v>
      </c>
      <c r="M110">
        <v>9.6418620683444001</v>
      </c>
      <c r="N110">
        <v>24.352405039246801</v>
      </c>
      <c r="O110">
        <v>0.22134016389751535</v>
      </c>
      <c r="P110">
        <v>3.0460473581780412</v>
      </c>
      <c r="Q110">
        <v>4.7661770810391202</v>
      </c>
      <c r="R110">
        <v>0.2214168</v>
      </c>
    </row>
    <row r="111" spans="1:18" x14ac:dyDescent="0.3">
      <c r="A111" s="14" t="s">
        <v>21</v>
      </c>
      <c r="B111" s="2" t="s">
        <v>45</v>
      </c>
      <c r="C111" s="17">
        <v>12</v>
      </c>
      <c r="D111" s="18">
        <v>9.2999999999999999E-2</v>
      </c>
      <c r="E111" s="18">
        <v>0.25</v>
      </c>
      <c r="F111" s="18">
        <v>0.24399999999999999</v>
      </c>
      <c r="G111" s="19">
        <v>80</v>
      </c>
      <c r="H111" s="17">
        <v>0</v>
      </c>
      <c r="I111" s="20">
        <v>12.5</v>
      </c>
      <c r="J111" s="20">
        <v>13.699999809265137</v>
      </c>
      <c r="K111" s="21">
        <v>0.16714285714285712</v>
      </c>
      <c r="L111">
        <v>15.544024122172001</v>
      </c>
      <c r="M111">
        <v>10.011976248168899</v>
      </c>
      <c r="N111">
        <v>25.5560003703409</v>
      </c>
      <c r="O111">
        <v>0.22939144504828968</v>
      </c>
      <c r="P111">
        <v>2.9762660416179521</v>
      </c>
      <c r="Q111">
        <v>4.8015220489762891</v>
      </c>
      <c r="R111">
        <v>0.21504870000000001</v>
      </c>
    </row>
    <row r="112" spans="1:18" x14ac:dyDescent="0.3">
      <c r="A112" s="14" t="s">
        <v>22</v>
      </c>
      <c r="B112" s="2" t="s">
        <v>45</v>
      </c>
      <c r="C112" s="17">
        <v>11.5</v>
      </c>
      <c r="D112" s="18">
        <v>9.2999999999999999E-2</v>
      </c>
      <c r="E112" s="18">
        <v>0.25</v>
      </c>
      <c r="F112" s="18">
        <v>0.23599999999999999</v>
      </c>
      <c r="G112" s="19">
        <v>79</v>
      </c>
      <c r="H112" s="17">
        <v>0</v>
      </c>
      <c r="I112" s="20">
        <v>12</v>
      </c>
      <c r="J112" s="20">
        <v>13.100000381469727</v>
      </c>
      <c r="K112" s="21">
        <v>0.16714285714285712</v>
      </c>
      <c r="L112">
        <v>16.240329349893301</v>
      </c>
      <c r="M112">
        <v>10.659823958824999</v>
      </c>
      <c r="N112">
        <v>26.900153308718302</v>
      </c>
      <c r="O112">
        <v>0.2303979794144011</v>
      </c>
      <c r="P112">
        <v>3.0414107268616899</v>
      </c>
      <c r="Q112">
        <v>4.820527312788955</v>
      </c>
      <c r="R112">
        <v>0.21015890000000001</v>
      </c>
    </row>
    <row r="113" spans="1:18" x14ac:dyDescent="0.3">
      <c r="A113" s="14" t="s">
        <v>23</v>
      </c>
      <c r="B113" s="2" t="s">
        <v>45</v>
      </c>
      <c r="C113" s="17">
        <v>11.6</v>
      </c>
      <c r="D113" s="18">
        <v>9.2999999999999999E-2</v>
      </c>
      <c r="E113" s="18">
        <v>0.25</v>
      </c>
      <c r="F113" s="18">
        <v>0.23400000000000001</v>
      </c>
      <c r="G113" s="19">
        <v>77</v>
      </c>
      <c r="H113" s="17">
        <v>0</v>
      </c>
      <c r="I113" s="20">
        <v>12.100000381469727</v>
      </c>
      <c r="J113" s="20">
        <v>13.300000190734863</v>
      </c>
      <c r="K113" s="21">
        <v>0.16714285714285712</v>
      </c>
      <c r="L113">
        <v>16.463486360925199</v>
      </c>
      <c r="M113">
        <v>11.492313100182299</v>
      </c>
      <c r="N113">
        <v>27.955799461107496</v>
      </c>
      <c r="O113">
        <v>0.22357565046990491</v>
      </c>
      <c r="P113">
        <v>3.1434638863094535</v>
      </c>
      <c r="Q113">
        <v>4.9281545766427337</v>
      </c>
      <c r="R113">
        <v>0.2079598</v>
      </c>
    </row>
    <row r="114" spans="1:18" x14ac:dyDescent="0.3">
      <c r="A114" s="14" t="s">
        <v>24</v>
      </c>
      <c r="B114" s="2" t="s">
        <v>45</v>
      </c>
      <c r="C114" s="17">
        <v>11.9</v>
      </c>
      <c r="D114" s="18">
        <v>9.2999999999999999E-2</v>
      </c>
      <c r="E114" s="18">
        <v>0.25</v>
      </c>
      <c r="F114" s="18">
        <v>0.253</v>
      </c>
      <c r="G114" s="19">
        <v>77</v>
      </c>
      <c r="H114" s="17">
        <v>0</v>
      </c>
      <c r="I114" s="20">
        <v>12.399999618530273</v>
      </c>
      <c r="J114" s="20">
        <v>13.699999809265137</v>
      </c>
      <c r="K114" s="21">
        <v>0.16714285714285712</v>
      </c>
      <c r="L114">
        <v>17.4007338485521</v>
      </c>
      <c r="M114">
        <v>12.486062348920299</v>
      </c>
      <c r="N114">
        <v>29.8867961974724</v>
      </c>
      <c r="O114">
        <v>0.21317766890088219</v>
      </c>
      <c r="P114">
        <v>3.1765508302439023</v>
      </c>
      <c r="Q114">
        <v>5.0917684513090364</v>
      </c>
      <c r="R114">
        <v>0.20611550000000001</v>
      </c>
    </row>
    <row r="115" spans="1:18" x14ac:dyDescent="0.3">
      <c r="A115" s="14" t="s">
        <v>25</v>
      </c>
      <c r="B115" s="2" t="s">
        <v>45</v>
      </c>
      <c r="C115" s="17">
        <v>11.8</v>
      </c>
      <c r="D115" s="18">
        <v>9.2999999999999999E-2</v>
      </c>
      <c r="E115" s="18">
        <v>0.25</v>
      </c>
      <c r="F115" s="18">
        <v>0.26900000000000002</v>
      </c>
      <c r="G115" s="19">
        <v>77</v>
      </c>
      <c r="H115" s="17">
        <v>0</v>
      </c>
      <c r="I115" s="20">
        <v>12.300000190734863</v>
      </c>
      <c r="J115" s="20">
        <v>13.600000381469727</v>
      </c>
      <c r="K115" s="21">
        <v>0.16714285714285712</v>
      </c>
      <c r="L115">
        <v>13.6926867674372</v>
      </c>
      <c r="M115">
        <v>10.948878436136299</v>
      </c>
      <c r="N115">
        <v>24.641565203573499</v>
      </c>
      <c r="O115">
        <v>0.18848064341364468</v>
      </c>
      <c r="P115">
        <v>3.1123615226371033</v>
      </c>
      <c r="Q115">
        <v>5.1338119661716144</v>
      </c>
      <c r="R115">
        <v>0.20478579999999999</v>
      </c>
    </row>
    <row r="116" spans="1:18" x14ac:dyDescent="0.3">
      <c r="A116" s="14" t="s">
        <v>26</v>
      </c>
      <c r="B116" s="2" t="s">
        <v>45</v>
      </c>
      <c r="C116" s="17">
        <v>11.4</v>
      </c>
      <c r="D116" s="18">
        <v>9.2999999999999999E-2</v>
      </c>
      <c r="E116" s="18">
        <v>0.25</v>
      </c>
      <c r="F116" s="18">
        <v>0.28399999999999997</v>
      </c>
      <c r="G116" s="19">
        <v>76</v>
      </c>
      <c r="H116" s="17">
        <v>0</v>
      </c>
      <c r="I116" s="20">
        <v>11.899999618530273</v>
      </c>
      <c r="J116" s="20">
        <v>13.100000381469727</v>
      </c>
      <c r="K116" s="21">
        <v>0.16714285714285712</v>
      </c>
      <c r="L116">
        <v>15.742894968613999</v>
      </c>
      <c r="M116">
        <v>12.3150586724219</v>
      </c>
      <c r="N116">
        <v>28.057953641035901</v>
      </c>
      <c r="O116">
        <v>0.18383467453287916</v>
      </c>
      <c r="P116">
        <v>3.1654039086844192</v>
      </c>
      <c r="Q116">
        <v>5.0839338070598989</v>
      </c>
      <c r="R116">
        <v>0.20329530000000001</v>
      </c>
    </row>
    <row r="117" spans="1:18" x14ac:dyDescent="0.3">
      <c r="A117" s="14" t="s">
        <v>27</v>
      </c>
      <c r="B117" s="2" t="s">
        <v>45</v>
      </c>
      <c r="C117" s="17">
        <v>11.3</v>
      </c>
      <c r="D117" s="18">
        <v>9.2999999999999999E-2</v>
      </c>
      <c r="E117" s="18">
        <v>0.25</v>
      </c>
      <c r="F117" s="18">
        <v>0.27900000000000003</v>
      </c>
      <c r="G117" s="19">
        <v>74</v>
      </c>
      <c r="H117" s="17">
        <v>0</v>
      </c>
      <c r="I117" s="20">
        <v>11.800000190734863</v>
      </c>
      <c r="J117" s="20">
        <v>13</v>
      </c>
      <c r="K117" s="21">
        <v>0.16714285714285712</v>
      </c>
      <c r="L117">
        <v>17.2587540474292</v>
      </c>
      <c r="M117">
        <v>13.5305382336088</v>
      </c>
      <c r="N117">
        <v>30.789292281038001</v>
      </c>
      <c r="O117">
        <v>0.18805877942287838</v>
      </c>
      <c r="P117">
        <v>3.2068288267676488</v>
      </c>
      <c r="Q117">
        <v>5.2145776036439706</v>
      </c>
      <c r="R117">
        <v>0.2010131</v>
      </c>
    </row>
    <row r="118" spans="1:18" x14ac:dyDescent="0.3">
      <c r="A118" s="14" t="s">
        <v>28</v>
      </c>
      <c r="B118" s="2" t="s">
        <v>45</v>
      </c>
      <c r="C118" s="17">
        <v>10.8</v>
      </c>
      <c r="D118" s="18">
        <v>9.2999999999999999E-2</v>
      </c>
      <c r="E118" s="18">
        <v>0.25</v>
      </c>
      <c r="F118" s="18">
        <v>0.27100000000000002</v>
      </c>
      <c r="G118" s="19">
        <v>74</v>
      </c>
      <c r="H118" s="17">
        <v>0</v>
      </c>
      <c r="I118" s="20">
        <v>11.300000190734863</v>
      </c>
      <c r="J118" s="20">
        <v>12.5</v>
      </c>
      <c r="K118" s="21">
        <v>0.16714285714285712</v>
      </c>
      <c r="L118">
        <v>17.039265340812701</v>
      </c>
      <c r="M118">
        <v>13.5289192626761</v>
      </c>
      <c r="N118">
        <v>30.568184603488803</v>
      </c>
      <c r="O118">
        <v>0.19581228803568462</v>
      </c>
      <c r="P118">
        <v>3.2714747854341257</v>
      </c>
      <c r="Q118">
        <v>5.223495921190878</v>
      </c>
      <c r="R118">
        <v>0.19678870000000001</v>
      </c>
    </row>
    <row r="119" spans="1:18" x14ac:dyDescent="0.3">
      <c r="A119" s="14" t="s">
        <v>29</v>
      </c>
      <c r="B119" s="2" t="s">
        <v>45</v>
      </c>
      <c r="C119" s="17">
        <v>10.8</v>
      </c>
      <c r="D119" s="18">
        <v>9.2999999999999999E-2</v>
      </c>
      <c r="E119" s="18">
        <v>0.25</v>
      </c>
      <c r="F119" s="18">
        <v>0.26700000000000002</v>
      </c>
      <c r="G119" s="19">
        <v>74</v>
      </c>
      <c r="H119" s="17">
        <v>0</v>
      </c>
      <c r="I119" s="20">
        <v>11.300000190734863</v>
      </c>
      <c r="J119" s="20">
        <v>12.399999618530273</v>
      </c>
      <c r="K119" s="21">
        <v>0.16714285714285712</v>
      </c>
      <c r="L119">
        <v>16.468481013027802</v>
      </c>
      <c r="M119">
        <v>13.5445229749135</v>
      </c>
      <c r="N119">
        <v>30.013003987941303</v>
      </c>
      <c r="O119">
        <v>0.1979097699467216</v>
      </c>
      <c r="P119">
        <v>3.2904909313761639</v>
      </c>
      <c r="Q119">
        <v>5.2418993770036941</v>
      </c>
      <c r="R119">
        <v>0.1924353</v>
      </c>
    </row>
    <row r="120" spans="1:18" x14ac:dyDescent="0.3">
      <c r="A120" s="14" t="s">
        <v>30</v>
      </c>
      <c r="B120" s="2" t="s">
        <v>45</v>
      </c>
      <c r="C120" s="17">
        <v>10.7</v>
      </c>
      <c r="D120" s="18">
        <v>9.2999999999999999E-2</v>
      </c>
      <c r="E120" s="18">
        <v>0.25</v>
      </c>
      <c r="F120" s="18">
        <v>0.26600000000000001</v>
      </c>
      <c r="G120" s="19">
        <v>74</v>
      </c>
      <c r="H120" s="17">
        <v>0</v>
      </c>
      <c r="I120" s="20">
        <v>11.100000381469727</v>
      </c>
      <c r="J120" s="20">
        <v>12.300000190734863</v>
      </c>
      <c r="K120" s="21">
        <v>0.16714285714285712</v>
      </c>
      <c r="L120">
        <v>16.427909031749302</v>
      </c>
      <c r="M120">
        <v>13.531517593909999</v>
      </c>
      <c r="N120">
        <v>29.959426625659301</v>
      </c>
      <c r="O120">
        <v>0.20327081395161753</v>
      </c>
      <c r="P120">
        <v>3.2378367454852359</v>
      </c>
      <c r="Q120">
        <v>5.2358275321787326</v>
      </c>
      <c r="R120">
        <v>0.18814500000000001</v>
      </c>
    </row>
    <row r="121" spans="1:18" x14ac:dyDescent="0.3">
      <c r="A121" s="14" t="s">
        <v>31</v>
      </c>
      <c r="B121" s="2" t="s">
        <v>45</v>
      </c>
      <c r="C121" s="17">
        <v>10.6</v>
      </c>
      <c r="D121" s="18">
        <v>9.2999999999999999E-2</v>
      </c>
      <c r="E121" s="18">
        <v>0.25</v>
      </c>
      <c r="F121" s="18">
        <v>0.251</v>
      </c>
      <c r="G121" s="19">
        <v>73</v>
      </c>
      <c r="H121" s="17">
        <v>0</v>
      </c>
      <c r="I121" s="20">
        <v>11.100000381469727</v>
      </c>
      <c r="J121" s="20">
        <v>12.300000190734863</v>
      </c>
      <c r="K121" s="21">
        <v>0.16714285714285712</v>
      </c>
      <c r="L121">
        <v>15.310817603021199</v>
      </c>
      <c r="M121">
        <v>12.423646259593999</v>
      </c>
      <c r="N121">
        <v>27.7344638626152</v>
      </c>
      <c r="O121">
        <v>0.20412970484476597</v>
      </c>
      <c r="P121">
        <v>3.1884000598520568</v>
      </c>
      <c r="Q121">
        <v>5.233617977902651</v>
      </c>
      <c r="R121">
        <v>0.18392040000000001</v>
      </c>
    </row>
    <row r="122" spans="1:18" x14ac:dyDescent="0.3">
      <c r="A122" s="14" t="s">
        <v>32</v>
      </c>
      <c r="B122" s="2" t="s">
        <v>45</v>
      </c>
      <c r="C122" s="17">
        <v>10.3</v>
      </c>
      <c r="D122" s="18">
        <v>9.2999999999999999E-2</v>
      </c>
      <c r="E122" s="18">
        <v>0.25</v>
      </c>
      <c r="F122" s="18">
        <v>0.248</v>
      </c>
      <c r="G122" s="19">
        <v>73</v>
      </c>
      <c r="H122" s="17">
        <v>0</v>
      </c>
      <c r="I122" s="20">
        <v>10.699999809265137</v>
      </c>
      <c r="J122" s="20">
        <v>12</v>
      </c>
      <c r="K122" s="21">
        <v>0.16714285714285712</v>
      </c>
      <c r="L122">
        <v>14.615497670721499</v>
      </c>
      <c r="M122">
        <v>11.881382176384999</v>
      </c>
      <c r="N122">
        <v>26.496879847106499</v>
      </c>
      <c r="O122">
        <v>0.20263551892963885</v>
      </c>
      <c r="P122">
        <v>3.2221156757174798</v>
      </c>
      <c r="Q122">
        <v>5.3713842169209673</v>
      </c>
      <c r="R122">
        <v>0.17938490000000001</v>
      </c>
    </row>
    <row r="123" spans="1:18" x14ac:dyDescent="0.3">
      <c r="A123" s="14" t="s">
        <v>33</v>
      </c>
      <c r="B123" s="2" t="s">
        <v>45</v>
      </c>
      <c r="C123" s="17">
        <v>10.3</v>
      </c>
      <c r="D123" s="18">
        <v>9.2999999999999999E-2</v>
      </c>
      <c r="E123" s="18">
        <v>0.25</v>
      </c>
      <c r="F123" s="18">
        <v>0.24199999999999999</v>
      </c>
      <c r="G123" s="19">
        <v>73</v>
      </c>
      <c r="H123" s="17">
        <v>0</v>
      </c>
      <c r="I123" s="20">
        <v>10.699999809265137</v>
      </c>
      <c r="J123" s="20">
        <v>11.899999618530273</v>
      </c>
      <c r="K123" s="21">
        <v>0.16714285714285712</v>
      </c>
      <c r="L123" s="17" t="s">
        <v>39</v>
      </c>
      <c r="M123" t="s">
        <v>39</v>
      </c>
      <c r="N123">
        <v>26.496879847106499</v>
      </c>
      <c r="O123">
        <v>0.20463260976575731</v>
      </c>
      <c r="P123">
        <v>3.302991662479323</v>
      </c>
      <c r="Q123">
        <v>5.4110683222313041</v>
      </c>
      <c r="R123">
        <v>0.17509240000000001</v>
      </c>
    </row>
    <row r="124" spans="1:18" x14ac:dyDescent="0.3">
      <c r="A124" s="14" t="s">
        <v>34</v>
      </c>
      <c r="B124" s="2" t="s">
        <v>45</v>
      </c>
      <c r="C124" s="17">
        <v>10.1</v>
      </c>
      <c r="D124" s="18">
        <v>9.2999999999999999E-2</v>
      </c>
      <c r="E124" s="18">
        <v>0.25</v>
      </c>
      <c r="F124" s="18">
        <v>0.23200000000000001</v>
      </c>
      <c r="G124" s="19">
        <v>72</v>
      </c>
      <c r="H124" s="17">
        <v>0</v>
      </c>
      <c r="I124" s="20">
        <v>10.5</v>
      </c>
      <c r="J124" s="20">
        <v>11.699999809265137</v>
      </c>
      <c r="K124" s="21">
        <v>0.16714285714285712</v>
      </c>
      <c r="L124" s="17" t="s">
        <v>39</v>
      </c>
      <c r="M124" t="s">
        <v>39</v>
      </c>
      <c r="N124">
        <v>26.496879847106499</v>
      </c>
      <c r="O124">
        <v>0.20759959520394591</v>
      </c>
      <c r="P124">
        <v>3.3905526531544217</v>
      </c>
      <c r="Q124">
        <v>5.5571789466268982</v>
      </c>
      <c r="R124" t="s">
        <v>39</v>
      </c>
    </row>
    <row r="125" spans="1:18" x14ac:dyDescent="0.3">
      <c r="A125" s="14">
        <v>2019</v>
      </c>
      <c r="B125" s="2" t="s">
        <v>45</v>
      </c>
      <c r="C125" s="17">
        <v>10.1</v>
      </c>
      <c r="D125" s="18">
        <v>9.2999999999999999E-2</v>
      </c>
      <c r="E125" s="18">
        <v>0.25</v>
      </c>
      <c r="F125" s="18">
        <v>0.223</v>
      </c>
      <c r="G125" s="19">
        <v>72</v>
      </c>
      <c r="H125" s="17">
        <v>0</v>
      </c>
      <c r="I125" s="20">
        <v>10.300000190734863</v>
      </c>
      <c r="J125" s="20">
        <v>11.600000381469727</v>
      </c>
      <c r="K125" s="21">
        <v>0.16714285714285712</v>
      </c>
      <c r="L125" s="17" t="s">
        <v>39</v>
      </c>
      <c r="M125" t="s">
        <v>39</v>
      </c>
      <c r="N125">
        <v>26.496879847106499</v>
      </c>
      <c r="O125">
        <v>0.2078520517629964</v>
      </c>
      <c r="P125">
        <v>3.3946758175336873</v>
      </c>
      <c r="Q125">
        <v>5.7456399703899068</v>
      </c>
      <c r="R125" t="s">
        <v>39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3</vt:i4>
      </vt:variant>
    </vt:vector>
  </HeadingPairs>
  <TitlesOfParts>
    <vt:vector size="6" baseType="lpstr">
      <vt:lpstr>supply shocks</vt:lpstr>
      <vt:lpstr>demand shocks</vt:lpstr>
      <vt:lpstr>export</vt:lpstr>
      <vt:lpstr>'demand shocks'!gdp</vt:lpstr>
      <vt:lpstr>'demand shocks'!ict</vt:lpstr>
      <vt:lpstr>'demand shocks'!intellectual_property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Daniele Checchi</cp:lastModifiedBy>
  <dcterms:created xsi:type="dcterms:W3CDTF">2021-02-12T07:01:00Z</dcterms:created>
  <dcterms:modified xsi:type="dcterms:W3CDTF">2026-08-20T15:22:46Z</dcterms:modified>
</cp:coreProperties>
</file>